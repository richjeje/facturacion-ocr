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<sst xmlns="http://schemas.openxmlformats.org/spreadsheetml/2006/main" count="895" uniqueCount="164">
  <si>
    <t>FECHA</t>
  </si>
  <si>
    <t>PROVEEDOR</t>
  </si>
  <si>
    <t>CONCEPTO</t>
  </si>
  <si>
    <t>FOLIO</t>
  </si>
  <si>
    <t>SUBTOTAL</t>
  </si>
  <si>
    <t>IVA</t>
  </si>
  <si>
    <t>TOTAL</t>
  </si>
  <si>
    <t>MERCEDES ALEJANDRA LOPEZ MORALES</t>
  </si>
  <si>
    <t>FERRETERIA</t>
  </si>
  <si>
    <t>TIENDAS FIX</t>
  </si>
  <si>
    <t>MAPRO</t>
  </si>
  <si>
    <t>A27</t>
  </si>
  <si>
    <t>WIZARD OZONE MEXICO</t>
  </si>
  <si>
    <t>F8053</t>
  </si>
  <si>
    <t>DON PULCRO</t>
  </si>
  <si>
    <t>LIMPIEZA</t>
  </si>
  <si>
    <t>202311230912141635</t>
  </si>
  <si>
    <t>PLOMERIA SELECTA</t>
  </si>
  <si>
    <t>F8192</t>
  </si>
  <si>
    <t>FERRETERIA Y TLAPALERIA PROGRESO</t>
  </si>
  <si>
    <t>-</t>
  </si>
  <si>
    <t>DELCASA FERRETERA</t>
  </si>
  <si>
    <t>ADRIANA ANGELA ROMERO ANDRADE</t>
  </si>
  <si>
    <t>F8212</t>
  </si>
  <si>
    <t>EUROELECTRICA</t>
  </si>
  <si>
    <t>MATERIAL ELECTRICO</t>
  </si>
  <si>
    <t>XKA69683</t>
  </si>
  <si>
    <t>202312011211341635</t>
  </si>
  <si>
    <t xml:space="preserve">AUTOZONE MEXICO </t>
  </si>
  <si>
    <t>REFACCIONES</t>
  </si>
  <si>
    <t xml:space="preserve">ANTONIO PADILLA RAMIREZ </t>
  </si>
  <si>
    <t>PAPELERIA</t>
  </si>
  <si>
    <t>MATERIALES HERMANOS PACHECO</t>
  </si>
  <si>
    <t>DEXCEN NORTE</t>
  </si>
  <si>
    <t>JULIETA CAMPOS GONZALES</t>
  </si>
  <si>
    <t>1-2-14-15469</t>
  </si>
  <si>
    <t>INDUSTRIAL ELECTRICA</t>
  </si>
  <si>
    <t>202312121123521635</t>
  </si>
  <si>
    <t>202312181059151635</t>
  </si>
  <si>
    <t>EL ANGEL DEL HOGAR AGROEXPRESS</t>
  </si>
  <si>
    <t>XKA70709</t>
  </si>
  <si>
    <t>F9079</t>
  </si>
  <si>
    <t>F9081</t>
  </si>
  <si>
    <t>SERVICIO Y MAQUINARIA DE AGUASCALIENTES</t>
  </si>
  <si>
    <t>MAQUINARIA</t>
  </si>
  <si>
    <t>A737</t>
  </si>
  <si>
    <t>PROMEXMA</t>
  </si>
  <si>
    <t>20231228031008181</t>
  </si>
  <si>
    <t>PLOMERIA</t>
  </si>
  <si>
    <t>F9129</t>
  </si>
  <si>
    <t xml:space="preserve">ACEROS Y MATERIALES SAN JORGE </t>
  </si>
  <si>
    <t>FC FACIL DE CONSTRUIR</t>
  </si>
  <si>
    <t>A65</t>
  </si>
  <si>
    <t>XKA71305</t>
  </si>
  <si>
    <t>STEREN</t>
  </si>
  <si>
    <t>VOZ Y DATOS</t>
  </si>
  <si>
    <t xml:space="preserve">FERRETERIA CINCUNVALACION </t>
  </si>
  <si>
    <t>XKA71334</t>
  </si>
  <si>
    <t>F9345</t>
  </si>
  <si>
    <t>XKA71455</t>
  </si>
  <si>
    <t>F9441</t>
  </si>
  <si>
    <t>F9442</t>
  </si>
  <si>
    <t>EUGENIA MARIA ELENA VILLALPANDO</t>
  </si>
  <si>
    <t>LA INDUSTRIAL MEXICANA</t>
  </si>
  <si>
    <t>RUSSELL</t>
  </si>
  <si>
    <t>202401151115431308</t>
  </si>
  <si>
    <t>F9596</t>
  </si>
  <si>
    <t>F9597</t>
  </si>
  <si>
    <t xml:space="preserve">PLAFORAMA </t>
  </si>
  <si>
    <t>202401180840401308</t>
  </si>
  <si>
    <t>20240119050221181</t>
  </si>
  <si>
    <t>DAC TRANSPORTE DE AGUA</t>
  </si>
  <si>
    <t>AGUA</t>
  </si>
  <si>
    <t>ANDAMIOS Y FIJACIONES DE SAN LUIS</t>
  </si>
  <si>
    <t>ANDAMIOS</t>
  </si>
  <si>
    <t>F9802</t>
  </si>
  <si>
    <t>XKA72157</t>
  </si>
  <si>
    <t>MASTER DEPOT</t>
  </si>
  <si>
    <t>COMEX</t>
  </si>
  <si>
    <t>PINTURA</t>
  </si>
  <si>
    <t>F9870</t>
  </si>
  <si>
    <t>XKA72323</t>
  </si>
  <si>
    <t>F9908</t>
  </si>
  <si>
    <t xml:space="preserve">VOZ Y DATOS </t>
  </si>
  <si>
    <t>F10020</t>
  </si>
  <si>
    <t>F10047</t>
  </si>
  <si>
    <t>F10067</t>
  </si>
  <si>
    <t>EDUARDO RODRIGUEZ LOPEZ DE LARA</t>
  </si>
  <si>
    <t>1-2-14-28182</t>
  </si>
  <si>
    <t>REFACCIONARIA NUEVA</t>
  </si>
  <si>
    <t>MULTIHERRAMIENTAS DEL BAJIO</t>
  </si>
  <si>
    <t xml:space="preserve">PLOMERIA SELECTA </t>
  </si>
  <si>
    <t>MARIA DE JESUS CRUZ NAVARRO</t>
  </si>
  <si>
    <t>XKA76220</t>
  </si>
  <si>
    <t>TAMEX</t>
  </si>
  <si>
    <t>TAISA</t>
  </si>
  <si>
    <t xml:space="preserve">HOME DEPOT </t>
  </si>
  <si>
    <t>VERMONT</t>
  </si>
  <si>
    <t>CVA1908084L6</t>
  </si>
  <si>
    <t>XKA76824</t>
  </si>
  <si>
    <t>F12970</t>
  </si>
  <si>
    <t>F12971</t>
  </si>
  <si>
    <t>A38495</t>
  </si>
  <si>
    <t>F12969</t>
  </si>
  <si>
    <t>F13115</t>
  </si>
  <si>
    <t>A38987</t>
  </si>
  <si>
    <t>F13176</t>
  </si>
  <si>
    <t>F13159</t>
  </si>
  <si>
    <t>XKA77156</t>
  </si>
  <si>
    <t>XKA77180</t>
  </si>
  <si>
    <t>ZEGUCOM</t>
  </si>
  <si>
    <t>EQUIPO ELECTRONICO</t>
  </si>
  <si>
    <t>F13289</t>
  </si>
  <si>
    <t>F13290</t>
  </si>
  <si>
    <t>F13319</t>
  </si>
  <si>
    <t xml:space="preserve">TORNILLIN ELECTRICO </t>
  </si>
  <si>
    <t>A39857</t>
  </si>
  <si>
    <t>F13430</t>
  </si>
  <si>
    <t>OFFICE MAX</t>
  </si>
  <si>
    <t>F13574</t>
  </si>
  <si>
    <t>F13740</t>
  </si>
  <si>
    <t>F13814</t>
  </si>
  <si>
    <t>F13824</t>
  </si>
  <si>
    <t>XKA78432</t>
  </si>
  <si>
    <t>F13869</t>
  </si>
  <si>
    <t>F13943</t>
  </si>
  <si>
    <t>F14133</t>
  </si>
  <si>
    <t>F14193</t>
  </si>
  <si>
    <t>F141216</t>
  </si>
  <si>
    <t>F14251</t>
  </si>
  <si>
    <t>F14444</t>
  </si>
  <si>
    <t>AUTOZONE MEXICO</t>
  </si>
  <si>
    <t>F14664</t>
  </si>
  <si>
    <t>F13741</t>
  </si>
  <si>
    <t>FRANCISCO JAVIER ESCOBEDO FIGUEROA</t>
  </si>
  <si>
    <t>XKA79958</t>
  </si>
  <si>
    <t>F14889</t>
  </si>
  <si>
    <t>F14980</t>
  </si>
  <si>
    <t>HOME DEPOT MEXICO</t>
  </si>
  <si>
    <t>TORNILLOS DIAZ</t>
  </si>
  <si>
    <t>PINTURAS Y COMPLEMENTOS ORLOP</t>
  </si>
  <si>
    <t>TAISA ACABADOS</t>
  </si>
  <si>
    <t>LEVAZU</t>
  </si>
  <si>
    <t>XKA82295</t>
  </si>
  <si>
    <t>XKA82284</t>
  </si>
  <si>
    <t>XKA82283</t>
  </si>
  <si>
    <t>TAISA CONSTRUCCIONES</t>
  </si>
  <si>
    <t>DEXCEN</t>
  </si>
  <si>
    <t>1-3-14-9562</t>
  </si>
  <si>
    <t>VITRO HOGAR</t>
  </si>
  <si>
    <t>XKA83069</t>
  </si>
  <si>
    <t>XKA83600</t>
  </si>
  <si>
    <t>202409280100552212</t>
  </si>
  <si>
    <t>XKA84135</t>
  </si>
  <si>
    <t>XKA84241</t>
  </si>
  <si>
    <t>XKA84260</t>
  </si>
  <si>
    <t>COMERCIALIZADORA LUGUER</t>
  </si>
  <si>
    <t>PLAFORAMA</t>
  </si>
  <si>
    <t>XKA84434</t>
  </si>
  <si>
    <t>XKA84501</t>
  </si>
  <si>
    <t>HUMBERTO PALOS LOMELI</t>
  </si>
  <si>
    <t>B-18729</t>
  </si>
  <si>
    <t>JULIETA CAMPOS GONZALEZ</t>
  </si>
  <si>
    <t>1-2-14-22981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</si>
</sst>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-&quot;mm&quot;-&quot;yyyy"/>
    <numFmt numFmtId="165" formatCode="&quot;$&quot;#,##0.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vertical="top"/>
    </xf>
    <xf borderId="0" fillId="0" fontId="1" numFmtId="0" xfId="0" applyAlignment="1" applyFont="1">
      <alignment horizontal="center" readingOrder="0" vertical="top"/>
    </xf>
    <xf borderId="0" fillId="0" fontId="1" numFmtId="165" xfId="0" applyAlignment="1" applyFont="1" applyNumberFormat="1">
      <alignment horizontal="center" readingOrder="0" vertical="top"/>
    </xf>
    <xf borderId="0" fillId="0" fontId="1" numFmtId="165" xfId="0" applyAlignment="1" applyFont="1" applyNumberFormat="1">
      <alignment horizontal="right" readingOrder="0" vertical="top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5" xfId="0" applyFont="1" applyNumberFormat="1"/>
    <xf borderId="0" fillId="0" fontId="2" numFmtId="165" xfId="0" applyAlignment="1" applyFont="1" applyNumberFormat="1">
      <alignment horizontal="right"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horizontal="left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horizontal="left" vertical="bottom"/>
    </xf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2" numFmtId="165" xfId="0" applyAlignment="1" applyFont="1" applyNumberFormat="1">
      <alignment horizontal="righ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42.29"/>
    <col customWidth="1" min="3" max="3" width="28.0"/>
    <col customWidth="1" min="4" max="4" width="20.29"/>
    <col customWidth="1" min="5" max="6" width="17.0"/>
    <col customWidth="1" min="7" max="7" width="16.43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5"/>
      <c r="J1" s="5"/>
    </row>
    <row r="2" ht="15.75" customHeight="1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8" t="s">
        <v>6</v>
      </c>
    </row>
    <row r="3" ht="15.75" customHeight="1">
      <c r="A3" s="9">
        <v>45168.0</v>
      </c>
      <c r="B3" s="10" t="s">
        <v>7</v>
      </c>
      <c r="C3" s="10" t="s">
        <v>8</v>
      </c>
      <c r="D3" s="11"/>
      <c r="E3" s="12">
        <f t="shared" ref="E3:E20" si="1">G3-F3</f>
        <v>1343.9916</v>
      </c>
      <c r="F3" s="12">
        <f t="shared" ref="F3:F20" si="2">MULTIPLY(G3,0.16)</f>
        <v>255.9984</v>
      </c>
      <c r="G3" s="13">
        <v>1599.99</v>
      </c>
    </row>
    <row r="4" ht="15.75" customHeight="1">
      <c r="A4" s="9">
        <v>45251.0</v>
      </c>
      <c r="B4" s="10" t="s">
        <v>9</v>
      </c>
      <c r="C4" s="10" t="s">
        <v>8</v>
      </c>
      <c r="D4" s="10">
        <v>16040.0</v>
      </c>
      <c r="E4" s="12">
        <f t="shared" si="1"/>
        <v>55.44</v>
      </c>
      <c r="F4" s="12">
        <f t="shared" si="2"/>
        <v>10.56</v>
      </c>
      <c r="G4" s="14">
        <v>66.0</v>
      </c>
    </row>
    <row r="5" ht="15.75" customHeight="1">
      <c r="A5" s="9">
        <v>45251.0</v>
      </c>
      <c r="B5" s="10" t="s">
        <v>9</v>
      </c>
      <c r="C5" s="10" t="s">
        <v>8</v>
      </c>
      <c r="D5" s="10">
        <v>16054.0</v>
      </c>
      <c r="E5" s="12">
        <f t="shared" si="1"/>
        <v>35.28</v>
      </c>
      <c r="F5" s="12">
        <f t="shared" si="2"/>
        <v>6.72</v>
      </c>
      <c r="G5" s="14">
        <v>42.0</v>
      </c>
    </row>
    <row r="6" ht="15.75" customHeight="1">
      <c r="A6" s="9">
        <v>45252.0</v>
      </c>
      <c r="B6" s="10" t="s">
        <v>9</v>
      </c>
      <c r="C6" s="10" t="s">
        <v>8</v>
      </c>
      <c r="D6" s="10">
        <v>16078.0</v>
      </c>
      <c r="E6" s="12">
        <f t="shared" si="1"/>
        <v>49.56</v>
      </c>
      <c r="F6" s="12">
        <f t="shared" si="2"/>
        <v>9.44</v>
      </c>
      <c r="G6" s="14">
        <v>59.0</v>
      </c>
    </row>
    <row r="7" ht="15.75" customHeight="1">
      <c r="A7" s="9">
        <v>45252.0</v>
      </c>
      <c r="B7" s="10" t="s">
        <v>9</v>
      </c>
      <c r="C7" s="10" t="s">
        <v>8</v>
      </c>
      <c r="D7" s="10">
        <v>16085.0</v>
      </c>
      <c r="E7" s="12">
        <f t="shared" si="1"/>
        <v>52.08</v>
      </c>
      <c r="F7" s="12">
        <f t="shared" si="2"/>
        <v>9.92</v>
      </c>
      <c r="G7" s="14">
        <v>62.0</v>
      </c>
    </row>
    <row r="8" ht="15.75" customHeight="1">
      <c r="A8" s="9">
        <v>45252.0</v>
      </c>
      <c r="B8" s="10" t="s">
        <v>10</v>
      </c>
      <c r="C8" s="10" t="s">
        <v>8</v>
      </c>
      <c r="D8" s="10" t="s">
        <v>11</v>
      </c>
      <c r="E8" s="12">
        <f t="shared" si="1"/>
        <v>38.64</v>
      </c>
      <c r="F8" s="12">
        <f t="shared" si="2"/>
        <v>7.36</v>
      </c>
      <c r="G8" s="14">
        <v>46.0</v>
      </c>
    </row>
    <row r="9" ht="15.75" customHeight="1">
      <c r="A9" s="9">
        <v>45253.0</v>
      </c>
      <c r="B9" s="10" t="s">
        <v>12</v>
      </c>
      <c r="C9" s="10" t="s">
        <v>8</v>
      </c>
      <c r="D9" s="10" t="s">
        <v>13</v>
      </c>
      <c r="E9" s="12">
        <f t="shared" si="1"/>
        <v>62.1684</v>
      </c>
      <c r="F9" s="12">
        <f t="shared" si="2"/>
        <v>11.8416</v>
      </c>
      <c r="G9" s="14">
        <v>74.01</v>
      </c>
    </row>
    <row r="10" ht="15.75" customHeight="1">
      <c r="A10" s="9">
        <v>45253.0</v>
      </c>
      <c r="B10" s="10" t="s">
        <v>9</v>
      </c>
      <c r="C10" s="10" t="s">
        <v>8</v>
      </c>
      <c r="D10" s="10">
        <v>16137.0</v>
      </c>
      <c r="E10" s="12">
        <f t="shared" si="1"/>
        <v>54.6</v>
      </c>
      <c r="F10" s="12">
        <f t="shared" si="2"/>
        <v>10.4</v>
      </c>
      <c r="G10" s="14">
        <v>65.0</v>
      </c>
    </row>
    <row r="11" ht="15.75" customHeight="1">
      <c r="A11" s="9">
        <v>45253.0</v>
      </c>
      <c r="B11" s="10" t="s">
        <v>14</v>
      </c>
      <c r="C11" s="10" t="s">
        <v>15</v>
      </c>
      <c r="D11" s="10" t="s">
        <v>16</v>
      </c>
      <c r="E11" s="12">
        <f t="shared" si="1"/>
        <v>8.3076</v>
      </c>
      <c r="F11" s="12">
        <f t="shared" si="2"/>
        <v>1.5824</v>
      </c>
      <c r="G11" s="14">
        <v>9.89</v>
      </c>
    </row>
    <row r="12" ht="15.75" customHeight="1">
      <c r="A12" s="9">
        <v>45254.0</v>
      </c>
      <c r="B12" s="10" t="s">
        <v>9</v>
      </c>
      <c r="C12" s="10" t="s">
        <v>8</v>
      </c>
      <c r="D12" s="10">
        <v>16168.0</v>
      </c>
      <c r="E12" s="12">
        <f t="shared" si="1"/>
        <v>68.88</v>
      </c>
      <c r="F12" s="12">
        <f t="shared" si="2"/>
        <v>13.12</v>
      </c>
      <c r="G12" s="14">
        <v>82.0</v>
      </c>
    </row>
    <row r="13" ht="15.75" customHeight="1">
      <c r="A13" s="9">
        <v>45255.0</v>
      </c>
      <c r="B13" s="10" t="s">
        <v>9</v>
      </c>
      <c r="C13" s="10" t="s">
        <v>8</v>
      </c>
      <c r="D13" s="10">
        <v>16191.0</v>
      </c>
      <c r="E13" s="12">
        <f t="shared" si="1"/>
        <v>46.2</v>
      </c>
      <c r="F13" s="12">
        <f t="shared" si="2"/>
        <v>8.8</v>
      </c>
      <c r="G13" s="14">
        <v>55.0</v>
      </c>
    </row>
    <row r="14" ht="15.75" customHeight="1">
      <c r="A14" s="9">
        <v>45255.0</v>
      </c>
      <c r="B14" s="10" t="s">
        <v>9</v>
      </c>
      <c r="C14" s="10" t="s">
        <v>8</v>
      </c>
      <c r="D14" s="10">
        <v>16186.0</v>
      </c>
      <c r="E14" s="12">
        <f t="shared" si="1"/>
        <v>16.8</v>
      </c>
      <c r="F14" s="12">
        <f t="shared" si="2"/>
        <v>3.2</v>
      </c>
      <c r="G14" s="14">
        <v>20.0</v>
      </c>
    </row>
    <row r="15" ht="15.75" customHeight="1">
      <c r="A15" s="9">
        <v>45258.0</v>
      </c>
      <c r="B15" s="10" t="s">
        <v>17</v>
      </c>
      <c r="C15" s="10" t="s">
        <v>8</v>
      </c>
      <c r="D15" s="10">
        <v>624145.0</v>
      </c>
      <c r="E15" s="12">
        <f t="shared" si="1"/>
        <v>171.696</v>
      </c>
      <c r="F15" s="12">
        <f t="shared" si="2"/>
        <v>32.704</v>
      </c>
      <c r="G15" s="14">
        <v>204.4</v>
      </c>
    </row>
    <row r="16" ht="15.75" customHeight="1">
      <c r="A16" s="9">
        <v>45258.0</v>
      </c>
      <c r="B16" s="10" t="s">
        <v>12</v>
      </c>
      <c r="C16" s="10" t="s">
        <v>8</v>
      </c>
      <c r="D16" s="10" t="s">
        <v>18</v>
      </c>
      <c r="E16" s="12">
        <f t="shared" si="1"/>
        <v>122.64</v>
      </c>
      <c r="F16" s="12">
        <f t="shared" si="2"/>
        <v>23.36</v>
      </c>
      <c r="G16" s="14">
        <v>146.0</v>
      </c>
    </row>
    <row r="17" ht="15.75" customHeight="1">
      <c r="A17" s="9">
        <v>45259.0</v>
      </c>
      <c r="B17" s="10" t="s">
        <v>19</v>
      </c>
      <c r="C17" s="10" t="s">
        <v>8</v>
      </c>
      <c r="D17" s="10" t="s">
        <v>20</v>
      </c>
      <c r="E17" s="12">
        <f t="shared" si="1"/>
        <v>5796</v>
      </c>
      <c r="F17" s="12">
        <f t="shared" si="2"/>
        <v>1104</v>
      </c>
      <c r="G17" s="14">
        <v>6900.0</v>
      </c>
    </row>
    <row r="18" ht="15.75" customHeight="1">
      <c r="A18" s="9">
        <v>45259.0</v>
      </c>
      <c r="B18" s="10" t="s">
        <v>21</v>
      </c>
      <c r="C18" s="10" t="s">
        <v>8</v>
      </c>
      <c r="D18" s="10">
        <v>503525.0</v>
      </c>
      <c r="E18" s="12">
        <f t="shared" si="1"/>
        <v>47.88</v>
      </c>
      <c r="F18" s="12">
        <f t="shared" si="2"/>
        <v>9.12</v>
      </c>
      <c r="G18" s="14">
        <v>57.0</v>
      </c>
    </row>
    <row r="19" ht="15.75" customHeight="1">
      <c r="A19" s="9">
        <v>45259.0</v>
      </c>
      <c r="B19" s="10" t="s">
        <v>22</v>
      </c>
      <c r="C19" s="10" t="s">
        <v>8</v>
      </c>
      <c r="D19" s="10">
        <v>87246.0</v>
      </c>
      <c r="E19" s="12">
        <f t="shared" si="1"/>
        <v>275.52</v>
      </c>
      <c r="F19" s="12">
        <f t="shared" si="2"/>
        <v>52.48</v>
      </c>
      <c r="G19" s="14">
        <v>328.0</v>
      </c>
    </row>
    <row r="20" ht="15.75" customHeight="1">
      <c r="A20" s="9">
        <v>45259.0</v>
      </c>
      <c r="B20" s="10" t="s">
        <v>12</v>
      </c>
      <c r="C20" s="10" t="s">
        <v>8</v>
      </c>
      <c r="D20" s="10" t="s">
        <v>23</v>
      </c>
      <c r="E20" s="12">
        <f t="shared" si="1"/>
        <v>70.5516</v>
      </c>
      <c r="F20" s="12">
        <f t="shared" si="2"/>
        <v>13.4384</v>
      </c>
      <c r="G20" s="14">
        <v>83.99</v>
      </c>
    </row>
    <row r="21" ht="15.75" customHeight="1">
      <c r="A21" s="15"/>
      <c r="B21" s="11"/>
      <c r="C21" s="11"/>
      <c r="D21" s="11"/>
      <c r="G21" s="12"/>
    </row>
    <row r="22" ht="15.75" customHeight="1">
      <c r="A22" s="9">
        <v>45257.0</v>
      </c>
      <c r="B22" s="10" t="s">
        <v>9</v>
      </c>
      <c r="C22" s="10" t="s">
        <v>8</v>
      </c>
      <c r="D22" s="10">
        <v>16210.0</v>
      </c>
      <c r="E22" s="12">
        <f t="shared" ref="E22:E46" si="3">G22-F22</f>
        <v>234.78</v>
      </c>
      <c r="F22" s="12">
        <f t="shared" ref="F22:F46" si="4">MULTIPLY(G22,0.16)</f>
        <v>44.72</v>
      </c>
      <c r="G22" s="14">
        <v>279.5</v>
      </c>
    </row>
    <row r="23" ht="15.75" customHeight="1">
      <c r="A23" s="9">
        <v>45258.0</v>
      </c>
      <c r="B23" s="10" t="s">
        <v>9</v>
      </c>
      <c r="C23" s="10" t="s">
        <v>8</v>
      </c>
      <c r="D23" s="10">
        <v>16253.0</v>
      </c>
      <c r="E23" s="12">
        <f t="shared" si="3"/>
        <v>31.08</v>
      </c>
      <c r="F23" s="12">
        <f t="shared" si="4"/>
        <v>5.92</v>
      </c>
      <c r="G23" s="14">
        <v>37.0</v>
      </c>
    </row>
    <row r="24" ht="15.75" customHeight="1">
      <c r="A24" s="9">
        <v>45260.0</v>
      </c>
      <c r="B24" s="10" t="s">
        <v>24</v>
      </c>
      <c r="C24" s="10" t="s">
        <v>25</v>
      </c>
      <c r="D24" s="10" t="s">
        <v>26</v>
      </c>
      <c r="E24" s="12">
        <f t="shared" si="3"/>
        <v>364.5264</v>
      </c>
      <c r="F24" s="12">
        <f t="shared" si="4"/>
        <v>69.4336</v>
      </c>
      <c r="G24" s="14">
        <v>433.96</v>
      </c>
    </row>
    <row r="25" ht="15.75" customHeight="1">
      <c r="A25" s="9">
        <v>45261.0</v>
      </c>
      <c r="B25" s="10" t="s">
        <v>14</v>
      </c>
      <c r="C25" s="10" t="s">
        <v>15</v>
      </c>
      <c r="D25" s="10" t="s">
        <v>27</v>
      </c>
      <c r="E25" s="12">
        <f t="shared" si="3"/>
        <v>93.912</v>
      </c>
      <c r="F25" s="12">
        <f t="shared" si="4"/>
        <v>17.888</v>
      </c>
      <c r="G25" s="14">
        <v>111.8</v>
      </c>
    </row>
    <row r="26" ht="15.75" customHeight="1">
      <c r="A26" s="9">
        <v>45263.0</v>
      </c>
      <c r="B26" s="10" t="s">
        <v>28</v>
      </c>
      <c r="C26" s="10" t="s">
        <v>29</v>
      </c>
      <c r="D26" s="10">
        <v>162155.0</v>
      </c>
      <c r="E26" s="12">
        <f t="shared" si="3"/>
        <v>361.2</v>
      </c>
      <c r="F26" s="12">
        <f t="shared" si="4"/>
        <v>68.8</v>
      </c>
      <c r="G26" s="14">
        <v>430.0</v>
      </c>
    </row>
    <row r="27" ht="15.75" customHeight="1">
      <c r="A27" s="9">
        <v>45264.0</v>
      </c>
      <c r="B27" s="10" t="s">
        <v>30</v>
      </c>
      <c r="C27" s="10" t="s">
        <v>31</v>
      </c>
      <c r="D27" s="10">
        <v>1562.0</v>
      </c>
      <c r="E27" s="12">
        <f t="shared" si="3"/>
        <v>468.7116</v>
      </c>
      <c r="F27" s="12">
        <f t="shared" si="4"/>
        <v>89.2784</v>
      </c>
      <c r="G27" s="14">
        <v>557.99</v>
      </c>
    </row>
    <row r="28" ht="15.75" customHeight="1">
      <c r="A28" s="9">
        <v>45264.0</v>
      </c>
      <c r="B28" s="10" t="s">
        <v>9</v>
      </c>
      <c r="C28" s="10" t="s">
        <v>8</v>
      </c>
      <c r="D28" s="10">
        <v>16454.0</v>
      </c>
      <c r="E28" s="12">
        <f t="shared" si="3"/>
        <v>96.6</v>
      </c>
      <c r="F28" s="12">
        <f t="shared" si="4"/>
        <v>18.4</v>
      </c>
      <c r="G28" s="14">
        <v>115.0</v>
      </c>
    </row>
    <row r="29" ht="15.75" customHeight="1">
      <c r="A29" s="9">
        <v>45265.0</v>
      </c>
      <c r="B29" s="10" t="s">
        <v>9</v>
      </c>
      <c r="C29" s="10" t="s">
        <v>8</v>
      </c>
      <c r="D29" s="10">
        <v>16466.0</v>
      </c>
      <c r="E29" s="12">
        <f t="shared" si="3"/>
        <v>95.76</v>
      </c>
      <c r="F29" s="12">
        <f t="shared" si="4"/>
        <v>18.24</v>
      </c>
      <c r="G29" s="14">
        <v>114.0</v>
      </c>
    </row>
    <row r="30" ht="15.75" customHeight="1">
      <c r="A30" s="9">
        <v>45265.0</v>
      </c>
      <c r="B30" s="10" t="s">
        <v>9</v>
      </c>
      <c r="C30" s="10" t="s">
        <v>8</v>
      </c>
      <c r="D30" s="10">
        <v>16496.0</v>
      </c>
      <c r="E30" s="12">
        <f t="shared" si="3"/>
        <v>147</v>
      </c>
      <c r="F30" s="12">
        <f t="shared" si="4"/>
        <v>28</v>
      </c>
      <c r="G30" s="14">
        <v>175.0</v>
      </c>
    </row>
    <row r="31" ht="15.75" customHeight="1">
      <c r="A31" s="9">
        <v>45265.0</v>
      </c>
      <c r="B31" s="10" t="s">
        <v>9</v>
      </c>
      <c r="C31" s="10" t="s">
        <v>8</v>
      </c>
      <c r="D31" s="10">
        <v>16508.0</v>
      </c>
      <c r="E31" s="12">
        <f t="shared" si="3"/>
        <v>84.84</v>
      </c>
      <c r="F31" s="12">
        <f t="shared" si="4"/>
        <v>16.16</v>
      </c>
      <c r="G31" s="14">
        <v>101.0</v>
      </c>
    </row>
    <row r="32" ht="15.75" customHeight="1">
      <c r="A32" s="9">
        <v>45266.0</v>
      </c>
      <c r="B32" s="10" t="s">
        <v>9</v>
      </c>
      <c r="C32" s="10" t="s">
        <v>8</v>
      </c>
      <c r="D32" s="10">
        <v>16525.0</v>
      </c>
      <c r="E32" s="12">
        <f t="shared" si="3"/>
        <v>117.6</v>
      </c>
      <c r="F32" s="12">
        <f t="shared" si="4"/>
        <v>22.4</v>
      </c>
      <c r="G32" s="14">
        <v>140.0</v>
      </c>
    </row>
    <row r="33" ht="15.75" customHeight="1">
      <c r="A33" s="9">
        <v>45266.0</v>
      </c>
      <c r="B33" s="10" t="s">
        <v>9</v>
      </c>
      <c r="C33" s="10" t="s">
        <v>8</v>
      </c>
      <c r="D33" s="10">
        <v>16514.0</v>
      </c>
      <c r="E33" s="12">
        <f t="shared" si="3"/>
        <v>133.56</v>
      </c>
      <c r="F33" s="12">
        <f t="shared" si="4"/>
        <v>25.44</v>
      </c>
      <c r="G33" s="14">
        <v>159.0</v>
      </c>
    </row>
    <row r="34" ht="15.75" customHeight="1">
      <c r="A34" s="9">
        <v>45266.0</v>
      </c>
      <c r="B34" s="10" t="s">
        <v>9</v>
      </c>
      <c r="C34" s="10" t="s">
        <v>8</v>
      </c>
      <c r="D34" s="10">
        <v>16541.0</v>
      </c>
      <c r="E34" s="12">
        <f t="shared" si="3"/>
        <v>91.98</v>
      </c>
      <c r="F34" s="12">
        <f t="shared" si="4"/>
        <v>17.52</v>
      </c>
      <c r="G34" s="14">
        <v>109.5</v>
      </c>
    </row>
    <row r="35" ht="15.75" customHeight="1">
      <c r="A35" s="9">
        <v>45266.0</v>
      </c>
      <c r="B35" s="10" t="s">
        <v>9</v>
      </c>
      <c r="C35" s="10" t="s">
        <v>8</v>
      </c>
      <c r="D35" s="10">
        <v>16526.0</v>
      </c>
      <c r="E35" s="12">
        <f t="shared" si="3"/>
        <v>8.4</v>
      </c>
      <c r="F35" s="12">
        <f t="shared" si="4"/>
        <v>1.6</v>
      </c>
      <c r="G35" s="14">
        <v>10.0</v>
      </c>
    </row>
    <row r="36" ht="15.75" customHeight="1">
      <c r="A36" s="9">
        <v>45266.0</v>
      </c>
      <c r="B36" s="10" t="s">
        <v>24</v>
      </c>
      <c r="C36" s="10" t="s">
        <v>25</v>
      </c>
      <c r="D36" s="10">
        <v>69939.0</v>
      </c>
      <c r="E36" s="12">
        <f t="shared" si="3"/>
        <v>243.012</v>
      </c>
      <c r="F36" s="12">
        <f t="shared" si="4"/>
        <v>46.288</v>
      </c>
      <c r="G36" s="14">
        <v>289.3</v>
      </c>
    </row>
    <row r="37" ht="15.75" customHeight="1">
      <c r="A37" s="9">
        <v>45266.0</v>
      </c>
      <c r="B37" s="10" t="s">
        <v>32</v>
      </c>
      <c r="C37" s="10" t="s">
        <v>8</v>
      </c>
      <c r="D37" s="11"/>
      <c r="E37" s="12">
        <f t="shared" si="3"/>
        <v>302.4</v>
      </c>
      <c r="F37" s="12">
        <f t="shared" si="4"/>
        <v>57.6</v>
      </c>
      <c r="G37" s="14">
        <v>360.0</v>
      </c>
    </row>
    <row r="38" ht="15.75" customHeight="1">
      <c r="A38" s="9">
        <v>45267.0</v>
      </c>
      <c r="B38" s="10" t="s">
        <v>9</v>
      </c>
      <c r="C38" s="10" t="s">
        <v>8</v>
      </c>
      <c r="D38" s="10">
        <v>16585.0</v>
      </c>
      <c r="E38" s="12">
        <f t="shared" si="3"/>
        <v>26.88</v>
      </c>
      <c r="F38" s="12">
        <f t="shared" si="4"/>
        <v>5.12</v>
      </c>
      <c r="G38" s="14">
        <v>32.0</v>
      </c>
    </row>
    <row r="39" ht="15.75" customHeight="1">
      <c r="A39" s="9">
        <v>45267.0</v>
      </c>
      <c r="B39" s="10" t="s">
        <v>9</v>
      </c>
      <c r="C39" s="10" t="s">
        <v>8</v>
      </c>
      <c r="D39" s="10">
        <v>16588.0</v>
      </c>
      <c r="E39" s="12">
        <f t="shared" si="3"/>
        <v>23.3772</v>
      </c>
      <c r="F39" s="12">
        <f t="shared" si="4"/>
        <v>4.4528</v>
      </c>
      <c r="G39" s="14">
        <v>27.83</v>
      </c>
    </row>
    <row r="40" ht="15.75" customHeight="1">
      <c r="A40" s="9">
        <v>45268.0</v>
      </c>
      <c r="B40" s="10" t="s">
        <v>9</v>
      </c>
      <c r="C40" s="10" t="s">
        <v>8</v>
      </c>
      <c r="D40" s="10">
        <v>65772.0</v>
      </c>
      <c r="E40" s="12">
        <f t="shared" si="3"/>
        <v>138.6</v>
      </c>
      <c r="F40" s="12">
        <f t="shared" si="4"/>
        <v>26.4</v>
      </c>
      <c r="G40" s="14">
        <v>165.0</v>
      </c>
    </row>
    <row r="41" ht="15.75" customHeight="1">
      <c r="A41" s="9">
        <v>45268.0</v>
      </c>
      <c r="B41" s="10" t="s">
        <v>9</v>
      </c>
      <c r="C41" s="10" t="s">
        <v>8</v>
      </c>
      <c r="D41" s="10">
        <v>16615.0</v>
      </c>
      <c r="E41" s="12">
        <f t="shared" si="3"/>
        <v>178.08</v>
      </c>
      <c r="F41" s="12">
        <f t="shared" si="4"/>
        <v>33.92</v>
      </c>
      <c r="G41" s="14">
        <v>212.0</v>
      </c>
    </row>
    <row r="42" ht="15.75" customHeight="1">
      <c r="A42" s="9">
        <v>45268.0</v>
      </c>
      <c r="B42" s="10" t="s">
        <v>9</v>
      </c>
      <c r="C42" s="10" t="s">
        <v>8</v>
      </c>
      <c r="D42" s="10">
        <v>16604.0</v>
      </c>
      <c r="E42" s="12">
        <f t="shared" si="3"/>
        <v>27.342</v>
      </c>
      <c r="F42" s="12">
        <f t="shared" si="4"/>
        <v>5.208</v>
      </c>
      <c r="G42" s="14">
        <v>32.55</v>
      </c>
    </row>
    <row r="43" ht="15.75" customHeight="1">
      <c r="A43" s="9">
        <v>45268.0</v>
      </c>
      <c r="B43" s="10" t="s">
        <v>33</v>
      </c>
      <c r="C43" s="10" t="s">
        <v>8</v>
      </c>
      <c r="D43" s="10" t="s">
        <v>20</v>
      </c>
      <c r="E43" s="12">
        <f t="shared" si="3"/>
        <v>163.8</v>
      </c>
      <c r="F43" s="12">
        <f t="shared" si="4"/>
        <v>31.2</v>
      </c>
      <c r="G43" s="14">
        <v>195.0</v>
      </c>
    </row>
    <row r="44" ht="15.75" customHeight="1">
      <c r="A44" s="9">
        <v>45268.0</v>
      </c>
      <c r="B44" s="10" t="s">
        <v>34</v>
      </c>
      <c r="C44" s="10" t="s">
        <v>8</v>
      </c>
      <c r="D44" s="10" t="s">
        <v>35</v>
      </c>
      <c r="E44" s="12">
        <f t="shared" si="3"/>
        <v>436.4892</v>
      </c>
      <c r="F44" s="12">
        <f t="shared" si="4"/>
        <v>83.1408</v>
      </c>
      <c r="G44" s="14">
        <v>519.63</v>
      </c>
    </row>
    <row r="45" ht="15.75" customHeight="1">
      <c r="A45" s="9">
        <v>45269.0</v>
      </c>
      <c r="B45" s="10" t="s">
        <v>9</v>
      </c>
      <c r="C45" s="10" t="s">
        <v>8</v>
      </c>
      <c r="D45" s="10">
        <v>65843.0</v>
      </c>
      <c r="E45" s="12">
        <f t="shared" si="3"/>
        <v>57.036</v>
      </c>
      <c r="F45" s="12">
        <f t="shared" si="4"/>
        <v>10.864</v>
      </c>
      <c r="G45" s="14">
        <v>67.9</v>
      </c>
    </row>
    <row r="46" ht="15.75" customHeight="1">
      <c r="A46" s="9">
        <v>45269.0</v>
      </c>
      <c r="B46" s="10" t="s">
        <v>36</v>
      </c>
      <c r="C46" s="10" t="s">
        <v>25</v>
      </c>
      <c r="D46" s="10">
        <v>23448.0</v>
      </c>
      <c r="E46" s="12">
        <f t="shared" si="3"/>
        <v>74.7096</v>
      </c>
      <c r="F46" s="12">
        <f t="shared" si="4"/>
        <v>14.2304</v>
      </c>
      <c r="G46" s="14">
        <v>88.94</v>
      </c>
    </row>
    <row r="47" ht="15.75" customHeight="1">
      <c r="A47" s="9"/>
      <c r="B47" s="10"/>
      <c r="C47" s="10"/>
      <c r="D47" s="11"/>
      <c r="G47" s="14"/>
    </row>
    <row r="48" ht="15.75" customHeight="1">
      <c r="A48" s="9">
        <v>45271.0</v>
      </c>
      <c r="B48" s="10" t="s">
        <v>9</v>
      </c>
      <c r="C48" s="10" t="s">
        <v>8</v>
      </c>
      <c r="D48" s="10">
        <v>60735.0</v>
      </c>
      <c r="E48" s="12">
        <f t="shared" ref="E48:E74" si="5">G48-F48</f>
        <v>282.24</v>
      </c>
      <c r="F48" s="12">
        <f t="shared" ref="F48:F74" si="6">MULTIPLY(G48,0.16)</f>
        <v>53.76</v>
      </c>
      <c r="G48" s="14">
        <v>336.0</v>
      </c>
    </row>
    <row r="49" ht="15.75" customHeight="1">
      <c r="A49" s="9">
        <v>45271.0</v>
      </c>
      <c r="B49" s="10" t="s">
        <v>28</v>
      </c>
      <c r="C49" s="10" t="s">
        <v>29</v>
      </c>
      <c r="D49" s="10">
        <v>35569.0</v>
      </c>
      <c r="E49" s="12">
        <f t="shared" si="5"/>
        <v>252</v>
      </c>
      <c r="F49" s="12">
        <f t="shared" si="6"/>
        <v>48</v>
      </c>
      <c r="G49" s="14">
        <v>300.0</v>
      </c>
    </row>
    <row r="50" ht="15.75" customHeight="1">
      <c r="A50" s="9">
        <v>45272.0</v>
      </c>
      <c r="B50" s="10" t="s">
        <v>14</v>
      </c>
      <c r="C50" s="10" t="s">
        <v>15</v>
      </c>
      <c r="D50" s="10" t="s">
        <v>37</v>
      </c>
      <c r="E50" s="12">
        <f t="shared" si="5"/>
        <v>28.392</v>
      </c>
      <c r="F50" s="12">
        <f t="shared" si="6"/>
        <v>5.408</v>
      </c>
      <c r="G50" s="14">
        <v>33.8</v>
      </c>
    </row>
    <row r="51" ht="15.75" customHeight="1">
      <c r="A51" s="9">
        <v>45272.0</v>
      </c>
      <c r="B51" s="10" t="s">
        <v>9</v>
      </c>
      <c r="C51" s="10" t="s">
        <v>8</v>
      </c>
      <c r="D51" s="10">
        <v>16682.0</v>
      </c>
      <c r="E51" s="12">
        <f t="shared" si="5"/>
        <v>180.6</v>
      </c>
      <c r="F51" s="12">
        <f t="shared" si="6"/>
        <v>34.4</v>
      </c>
      <c r="G51" s="14">
        <v>215.0</v>
      </c>
    </row>
    <row r="52" ht="15.75" customHeight="1">
      <c r="A52" s="9">
        <v>45273.0</v>
      </c>
      <c r="B52" s="10" t="s">
        <v>9</v>
      </c>
      <c r="C52" s="10" t="s">
        <v>8</v>
      </c>
      <c r="D52" s="10">
        <v>16711.0</v>
      </c>
      <c r="E52" s="12">
        <f t="shared" si="5"/>
        <v>46.2</v>
      </c>
      <c r="F52" s="12">
        <f t="shared" si="6"/>
        <v>8.8</v>
      </c>
      <c r="G52" s="14">
        <v>55.0</v>
      </c>
    </row>
    <row r="53" ht="15.75" customHeight="1">
      <c r="A53" s="9">
        <v>45273.0</v>
      </c>
      <c r="B53" s="10" t="s">
        <v>21</v>
      </c>
      <c r="C53" s="10" t="s">
        <v>8</v>
      </c>
      <c r="D53" s="10">
        <v>505774.0</v>
      </c>
      <c r="E53" s="12">
        <f t="shared" si="5"/>
        <v>43.68</v>
      </c>
      <c r="F53" s="12">
        <f t="shared" si="6"/>
        <v>8.32</v>
      </c>
      <c r="G53" s="14">
        <v>52.0</v>
      </c>
    </row>
    <row r="54" ht="15.75" customHeight="1">
      <c r="A54" s="9">
        <v>45274.0</v>
      </c>
      <c r="B54" s="10" t="s">
        <v>9</v>
      </c>
      <c r="C54" s="10" t="s">
        <v>8</v>
      </c>
      <c r="D54" s="10">
        <v>16775.0</v>
      </c>
      <c r="E54" s="12">
        <f t="shared" si="5"/>
        <v>161.28</v>
      </c>
      <c r="F54" s="12">
        <f t="shared" si="6"/>
        <v>30.72</v>
      </c>
      <c r="G54" s="14">
        <v>192.0</v>
      </c>
    </row>
    <row r="55" ht="15.75" customHeight="1">
      <c r="A55" s="9">
        <v>45275.0</v>
      </c>
      <c r="B55" s="10" t="s">
        <v>9</v>
      </c>
      <c r="C55" s="10" t="s">
        <v>8</v>
      </c>
      <c r="D55" s="10">
        <v>16826.0</v>
      </c>
      <c r="E55" s="12">
        <f t="shared" si="5"/>
        <v>129.36</v>
      </c>
      <c r="F55" s="12">
        <f t="shared" si="6"/>
        <v>24.64</v>
      </c>
      <c r="G55" s="14">
        <v>154.0</v>
      </c>
    </row>
    <row r="56" ht="15.75" customHeight="1">
      <c r="A56" s="9">
        <v>45275.0</v>
      </c>
      <c r="B56" s="10" t="s">
        <v>9</v>
      </c>
      <c r="C56" s="10" t="s">
        <v>8</v>
      </c>
      <c r="D56" s="10">
        <v>16824.0</v>
      </c>
      <c r="E56" s="12">
        <f t="shared" si="5"/>
        <v>18.48</v>
      </c>
      <c r="F56" s="12">
        <f t="shared" si="6"/>
        <v>3.52</v>
      </c>
      <c r="G56" s="14">
        <v>22.0</v>
      </c>
    </row>
    <row r="57" ht="15.75" customHeight="1">
      <c r="A57" s="9">
        <v>45275.0</v>
      </c>
      <c r="B57" s="10" t="s">
        <v>9</v>
      </c>
      <c r="C57" s="10" t="s">
        <v>8</v>
      </c>
      <c r="D57" s="10">
        <v>16823.0</v>
      </c>
      <c r="E57" s="12">
        <f t="shared" si="5"/>
        <v>32.76</v>
      </c>
      <c r="F57" s="12">
        <f t="shared" si="6"/>
        <v>6.24</v>
      </c>
      <c r="G57" s="14">
        <v>39.0</v>
      </c>
    </row>
    <row r="58" ht="15.75" customHeight="1">
      <c r="A58" s="9">
        <v>45275.0</v>
      </c>
      <c r="B58" s="10" t="s">
        <v>9</v>
      </c>
      <c r="C58" s="10" t="s">
        <v>8</v>
      </c>
      <c r="D58" s="10">
        <v>16809.0</v>
      </c>
      <c r="E58" s="12">
        <f t="shared" si="5"/>
        <v>28.56</v>
      </c>
      <c r="F58" s="12">
        <f t="shared" si="6"/>
        <v>5.44</v>
      </c>
      <c r="G58" s="14">
        <v>34.0</v>
      </c>
    </row>
    <row r="59" ht="15.75" customHeight="1">
      <c r="A59" s="9">
        <v>45275.0</v>
      </c>
      <c r="B59" s="10" t="s">
        <v>9</v>
      </c>
      <c r="C59" s="10" t="s">
        <v>8</v>
      </c>
      <c r="D59" s="10">
        <v>16800.0</v>
      </c>
      <c r="E59" s="12">
        <f t="shared" si="5"/>
        <v>318.36</v>
      </c>
      <c r="F59" s="12">
        <f t="shared" si="6"/>
        <v>60.64</v>
      </c>
      <c r="G59" s="14">
        <v>379.0</v>
      </c>
    </row>
    <row r="60" ht="15.75" customHeight="1">
      <c r="A60" s="9">
        <v>45278.0</v>
      </c>
      <c r="B60" s="10" t="s">
        <v>14</v>
      </c>
      <c r="C60" s="10" t="s">
        <v>15</v>
      </c>
      <c r="D60" s="10" t="s">
        <v>38</v>
      </c>
      <c r="E60" s="12">
        <f t="shared" si="5"/>
        <v>98.4564</v>
      </c>
      <c r="F60" s="12">
        <f t="shared" si="6"/>
        <v>18.7536</v>
      </c>
      <c r="G60" s="14">
        <v>117.21</v>
      </c>
    </row>
    <row r="61" ht="15.75" customHeight="1">
      <c r="A61" s="9">
        <v>45278.0</v>
      </c>
      <c r="B61" s="10" t="s">
        <v>9</v>
      </c>
      <c r="C61" s="10" t="s">
        <v>8</v>
      </c>
      <c r="D61" s="10">
        <v>16869.0</v>
      </c>
      <c r="E61" s="12">
        <f t="shared" si="5"/>
        <v>162.12</v>
      </c>
      <c r="F61" s="12">
        <f t="shared" si="6"/>
        <v>30.88</v>
      </c>
      <c r="G61" s="14">
        <v>193.0</v>
      </c>
    </row>
    <row r="62" ht="15.75" customHeight="1">
      <c r="A62" s="9">
        <v>45278.0</v>
      </c>
      <c r="B62" s="10" t="s">
        <v>9</v>
      </c>
      <c r="C62" s="10" t="s">
        <v>8</v>
      </c>
      <c r="D62" s="10">
        <v>16874.0</v>
      </c>
      <c r="E62" s="12">
        <f t="shared" si="5"/>
        <v>110.88</v>
      </c>
      <c r="F62" s="12">
        <f t="shared" si="6"/>
        <v>21.12</v>
      </c>
      <c r="G62" s="14">
        <v>132.0</v>
      </c>
    </row>
    <row r="63" ht="15.75" customHeight="1">
      <c r="A63" s="9">
        <v>45278.0</v>
      </c>
      <c r="B63" s="10" t="s">
        <v>9</v>
      </c>
      <c r="C63" s="10" t="s">
        <v>8</v>
      </c>
      <c r="D63" s="10">
        <v>16877.0</v>
      </c>
      <c r="E63" s="12">
        <f t="shared" si="5"/>
        <v>52.08</v>
      </c>
      <c r="F63" s="12">
        <f t="shared" si="6"/>
        <v>9.92</v>
      </c>
      <c r="G63" s="14">
        <v>62.0</v>
      </c>
    </row>
    <row r="64" ht="15.75" customHeight="1">
      <c r="A64" s="9">
        <v>45279.0</v>
      </c>
      <c r="B64" s="10" t="s">
        <v>9</v>
      </c>
      <c r="C64" s="10" t="s">
        <v>8</v>
      </c>
      <c r="D64" s="10">
        <v>16884.0</v>
      </c>
      <c r="E64" s="12">
        <f t="shared" si="5"/>
        <v>32.76</v>
      </c>
      <c r="F64" s="12">
        <f t="shared" si="6"/>
        <v>6.24</v>
      </c>
      <c r="G64" s="14">
        <v>39.0</v>
      </c>
    </row>
    <row r="65" ht="15.75" customHeight="1">
      <c r="A65" s="9">
        <v>45279.0</v>
      </c>
      <c r="B65" s="10" t="s">
        <v>9</v>
      </c>
      <c r="C65" s="10" t="s">
        <v>8</v>
      </c>
      <c r="D65" s="10">
        <v>16891.0</v>
      </c>
      <c r="E65" s="12">
        <f t="shared" si="5"/>
        <v>321.72</v>
      </c>
      <c r="F65" s="12">
        <f t="shared" si="6"/>
        <v>61.28</v>
      </c>
      <c r="G65" s="14">
        <v>383.0</v>
      </c>
    </row>
    <row r="66" ht="15.75" customHeight="1">
      <c r="A66" s="9">
        <v>45279.0</v>
      </c>
      <c r="B66" s="10" t="s">
        <v>9</v>
      </c>
      <c r="C66" s="10" t="s">
        <v>8</v>
      </c>
      <c r="D66" s="10">
        <v>16883.0</v>
      </c>
      <c r="E66" s="12">
        <f t="shared" si="5"/>
        <v>84</v>
      </c>
      <c r="F66" s="12">
        <f t="shared" si="6"/>
        <v>16</v>
      </c>
      <c r="G66" s="14">
        <v>100.0</v>
      </c>
    </row>
    <row r="67" ht="15.75" customHeight="1">
      <c r="A67" s="9">
        <v>45279.0</v>
      </c>
      <c r="B67" s="10" t="s">
        <v>9</v>
      </c>
      <c r="C67" s="10" t="s">
        <v>8</v>
      </c>
      <c r="D67" s="10">
        <v>16896.0</v>
      </c>
      <c r="E67" s="12">
        <f t="shared" si="5"/>
        <v>92.4</v>
      </c>
      <c r="F67" s="12">
        <f t="shared" si="6"/>
        <v>17.6</v>
      </c>
      <c r="G67" s="14">
        <v>110.0</v>
      </c>
    </row>
    <row r="68" ht="15.75" customHeight="1">
      <c r="A68" s="9">
        <v>45279.0</v>
      </c>
      <c r="B68" s="10" t="s">
        <v>9</v>
      </c>
      <c r="C68" s="10" t="s">
        <v>8</v>
      </c>
      <c r="D68" s="10">
        <v>16899.0</v>
      </c>
      <c r="E68" s="12">
        <f t="shared" si="5"/>
        <v>43.68</v>
      </c>
      <c r="F68" s="12">
        <f t="shared" si="6"/>
        <v>8.32</v>
      </c>
      <c r="G68" s="14">
        <v>52.0</v>
      </c>
    </row>
    <row r="69" ht="15.75" customHeight="1">
      <c r="A69" s="9">
        <v>45280.0</v>
      </c>
      <c r="B69" s="10" t="s">
        <v>9</v>
      </c>
      <c r="C69" s="10" t="s">
        <v>8</v>
      </c>
      <c r="D69" s="10">
        <v>16945.0</v>
      </c>
      <c r="E69" s="12">
        <f t="shared" si="5"/>
        <v>792.12</v>
      </c>
      <c r="F69" s="12">
        <f t="shared" si="6"/>
        <v>150.88</v>
      </c>
      <c r="G69" s="14">
        <v>943.0</v>
      </c>
    </row>
    <row r="70" ht="15.75" customHeight="1">
      <c r="A70" s="9">
        <v>45280.0</v>
      </c>
      <c r="B70" s="10" t="s">
        <v>39</v>
      </c>
      <c r="C70" s="10" t="s">
        <v>8</v>
      </c>
      <c r="D70" s="10">
        <v>2.0</v>
      </c>
      <c r="E70" s="12">
        <f t="shared" si="5"/>
        <v>285.6</v>
      </c>
      <c r="F70" s="12">
        <f t="shared" si="6"/>
        <v>54.4</v>
      </c>
      <c r="G70" s="14">
        <v>340.0</v>
      </c>
    </row>
    <row r="71" ht="15.75" customHeight="1">
      <c r="A71" s="9">
        <v>45280.0</v>
      </c>
      <c r="B71" s="10" t="s">
        <v>9</v>
      </c>
      <c r="C71" s="10" t="s">
        <v>8</v>
      </c>
      <c r="D71" s="10">
        <v>16946.0</v>
      </c>
      <c r="E71" s="12">
        <f t="shared" si="5"/>
        <v>205.8</v>
      </c>
      <c r="F71" s="12">
        <f t="shared" si="6"/>
        <v>39.2</v>
      </c>
      <c r="G71" s="14">
        <v>245.0</v>
      </c>
    </row>
    <row r="72" ht="15.75" customHeight="1">
      <c r="A72" s="9">
        <v>45281.0</v>
      </c>
      <c r="B72" s="10" t="s">
        <v>9</v>
      </c>
      <c r="C72" s="10" t="s">
        <v>8</v>
      </c>
      <c r="D72" s="10">
        <v>61880.0</v>
      </c>
      <c r="E72" s="12">
        <f t="shared" si="5"/>
        <v>27.72</v>
      </c>
      <c r="F72" s="12">
        <f t="shared" si="6"/>
        <v>5.28</v>
      </c>
      <c r="G72" s="14">
        <v>33.0</v>
      </c>
    </row>
    <row r="73" ht="15.75" customHeight="1">
      <c r="A73" s="9">
        <v>45281.0</v>
      </c>
      <c r="B73" s="10" t="s">
        <v>9</v>
      </c>
      <c r="C73" s="10" t="s">
        <v>8</v>
      </c>
      <c r="D73" s="10">
        <v>16963.0</v>
      </c>
      <c r="E73" s="12">
        <f t="shared" si="5"/>
        <v>449.4</v>
      </c>
      <c r="F73" s="12">
        <f t="shared" si="6"/>
        <v>85.6</v>
      </c>
      <c r="G73" s="14">
        <v>535.0</v>
      </c>
    </row>
    <row r="74" ht="15.75" customHeight="1">
      <c r="A74" s="9">
        <v>45282.0</v>
      </c>
      <c r="B74" s="10" t="s">
        <v>9</v>
      </c>
      <c r="C74" s="10" t="s">
        <v>8</v>
      </c>
      <c r="D74" s="10" t="s">
        <v>40</v>
      </c>
      <c r="E74" s="12">
        <f t="shared" si="5"/>
        <v>91.8876</v>
      </c>
      <c r="F74" s="12">
        <f t="shared" si="6"/>
        <v>17.5024</v>
      </c>
      <c r="G74" s="14">
        <v>109.39</v>
      </c>
    </row>
    <row r="75" ht="15.75" customHeight="1">
      <c r="A75" s="15"/>
      <c r="B75" s="10"/>
      <c r="C75" s="10"/>
      <c r="D75" s="11"/>
      <c r="G75" s="12"/>
    </row>
    <row r="76" ht="15.75" customHeight="1">
      <c r="A76" s="9">
        <v>45287.0</v>
      </c>
      <c r="B76" s="16" t="s">
        <v>14</v>
      </c>
      <c r="C76" s="16" t="s">
        <v>15</v>
      </c>
      <c r="D76" s="10" t="s">
        <v>20</v>
      </c>
      <c r="E76" s="12">
        <f t="shared" ref="E76:E88" si="7">G76-F76</f>
        <v>143.64</v>
      </c>
      <c r="F76" s="12">
        <f t="shared" ref="F76:F88" si="8">MULTIPLY(G76,0.16)</f>
        <v>27.36</v>
      </c>
      <c r="G76" s="14">
        <v>171.0</v>
      </c>
    </row>
    <row r="77" ht="15.75" customHeight="1">
      <c r="A77" s="9">
        <v>45287.0</v>
      </c>
      <c r="B77" s="10" t="s">
        <v>12</v>
      </c>
      <c r="C77" s="10" t="s">
        <v>8</v>
      </c>
      <c r="D77" s="10" t="s">
        <v>41</v>
      </c>
      <c r="E77" s="12">
        <f t="shared" si="7"/>
        <v>49.56</v>
      </c>
      <c r="F77" s="12">
        <f t="shared" si="8"/>
        <v>9.44</v>
      </c>
      <c r="G77" s="14">
        <v>59.0</v>
      </c>
    </row>
    <row r="78" ht="15.75" customHeight="1">
      <c r="A78" s="9">
        <v>45287.0</v>
      </c>
      <c r="B78" s="10" t="s">
        <v>12</v>
      </c>
      <c r="C78" s="10" t="s">
        <v>8</v>
      </c>
      <c r="D78" s="10" t="s">
        <v>42</v>
      </c>
      <c r="E78" s="12">
        <f t="shared" si="7"/>
        <v>205.7832</v>
      </c>
      <c r="F78" s="12">
        <f t="shared" si="8"/>
        <v>39.1968</v>
      </c>
      <c r="G78" s="14">
        <v>244.98</v>
      </c>
    </row>
    <row r="79" ht="15.75" customHeight="1">
      <c r="A79" s="9">
        <v>45288.0</v>
      </c>
      <c r="B79" s="10" t="s">
        <v>43</v>
      </c>
      <c r="C79" s="10" t="s">
        <v>44</v>
      </c>
      <c r="D79" s="10" t="s">
        <v>45</v>
      </c>
      <c r="E79" s="12">
        <f t="shared" si="7"/>
        <v>1071.84</v>
      </c>
      <c r="F79" s="12">
        <f t="shared" si="8"/>
        <v>204.16</v>
      </c>
      <c r="G79" s="14">
        <v>1276.0</v>
      </c>
    </row>
    <row r="80" ht="15.75" customHeight="1">
      <c r="A80" s="9">
        <v>45288.0</v>
      </c>
      <c r="B80" s="10" t="s">
        <v>46</v>
      </c>
      <c r="C80" s="10" t="s">
        <v>8</v>
      </c>
      <c r="D80" s="10">
        <v>78218.0</v>
      </c>
      <c r="E80" s="12">
        <f t="shared" si="7"/>
        <v>76.4904</v>
      </c>
      <c r="F80" s="12">
        <f t="shared" si="8"/>
        <v>14.5696</v>
      </c>
      <c r="G80" s="14">
        <v>91.06</v>
      </c>
    </row>
    <row r="81" ht="15.75" customHeight="1">
      <c r="A81" s="9">
        <v>45288.0</v>
      </c>
      <c r="B81" s="10" t="s">
        <v>9</v>
      </c>
      <c r="C81" s="10" t="s">
        <v>8</v>
      </c>
      <c r="D81" s="10">
        <v>17102.0</v>
      </c>
      <c r="E81" s="12">
        <f t="shared" si="7"/>
        <v>83.16</v>
      </c>
      <c r="F81" s="12">
        <f t="shared" si="8"/>
        <v>15.84</v>
      </c>
      <c r="G81" s="14">
        <v>99.0</v>
      </c>
    </row>
    <row r="82" ht="15.75" customHeight="1">
      <c r="A82" s="9">
        <v>45288.0</v>
      </c>
      <c r="B82" s="10" t="s">
        <v>14</v>
      </c>
      <c r="C82" s="10" t="s">
        <v>15</v>
      </c>
      <c r="D82" s="10" t="s">
        <v>47</v>
      </c>
      <c r="E82" s="12">
        <f t="shared" si="7"/>
        <v>16.632</v>
      </c>
      <c r="F82" s="12">
        <f t="shared" si="8"/>
        <v>3.168</v>
      </c>
      <c r="G82" s="14">
        <v>19.8</v>
      </c>
    </row>
    <row r="83" ht="15.75" customHeight="1">
      <c r="A83" s="9">
        <v>45289.0</v>
      </c>
      <c r="B83" s="10" t="s">
        <v>9</v>
      </c>
      <c r="C83" s="10" t="s">
        <v>8</v>
      </c>
      <c r="D83" s="10">
        <v>17132.0</v>
      </c>
      <c r="E83" s="12">
        <f t="shared" si="7"/>
        <v>23.52</v>
      </c>
      <c r="F83" s="12">
        <f t="shared" si="8"/>
        <v>4.48</v>
      </c>
      <c r="G83" s="14">
        <v>28.0</v>
      </c>
    </row>
    <row r="84" ht="15.75" customHeight="1">
      <c r="A84" s="9">
        <v>45289.0</v>
      </c>
      <c r="B84" s="10" t="s">
        <v>9</v>
      </c>
      <c r="C84" s="10" t="s">
        <v>8</v>
      </c>
      <c r="D84" s="10">
        <v>17145.0</v>
      </c>
      <c r="E84" s="12">
        <f t="shared" si="7"/>
        <v>109.2</v>
      </c>
      <c r="F84" s="12">
        <f t="shared" si="8"/>
        <v>20.8</v>
      </c>
      <c r="G84" s="14">
        <v>130.0</v>
      </c>
    </row>
    <row r="85" ht="15.75" customHeight="1">
      <c r="A85" s="9">
        <v>45289.0</v>
      </c>
      <c r="B85" s="10" t="s">
        <v>9</v>
      </c>
      <c r="C85" s="10" t="s">
        <v>8</v>
      </c>
      <c r="D85" s="11"/>
      <c r="E85" s="12">
        <f t="shared" si="7"/>
        <v>0</v>
      </c>
      <c r="F85" s="12">
        <f t="shared" si="8"/>
        <v>0</v>
      </c>
      <c r="G85" s="12"/>
    </row>
    <row r="86" ht="15.75" customHeight="1">
      <c r="A86" s="9">
        <v>45289.0</v>
      </c>
      <c r="B86" s="16" t="s">
        <v>14</v>
      </c>
      <c r="C86" s="16" t="s">
        <v>15</v>
      </c>
      <c r="D86" s="10" t="s">
        <v>20</v>
      </c>
      <c r="E86" s="12">
        <f t="shared" si="7"/>
        <v>122.808</v>
      </c>
      <c r="F86" s="12">
        <f t="shared" si="8"/>
        <v>23.392</v>
      </c>
      <c r="G86" s="14">
        <v>146.2</v>
      </c>
    </row>
    <row r="87" ht="15.75" customHeight="1">
      <c r="A87" s="9">
        <v>45289.0</v>
      </c>
      <c r="B87" s="17" t="s">
        <v>17</v>
      </c>
      <c r="C87" s="17" t="s">
        <v>48</v>
      </c>
      <c r="D87" s="10">
        <v>627585.0</v>
      </c>
      <c r="E87" s="12">
        <f t="shared" si="7"/>
        <v>87.4524</v>
      </c>
      <c r="F87" s="12">
        <f t="shared" si="8"/>
        <v>16.6576</v>
      </c>
      <c r="G87" s="14">
        <v>104.11</v>
      </c>
    </row>
    <row r="88" ht="15.75" customHeight="1">
      <c r="A88" s="9">
        <v>45289.0</v>
      </c>
      <c r="B88" s="10" t="s">
        <v>12</v>
      </c>
      <c r="C88" s="10" t="s">
        <v>8</v>
      </c>
      <c r="D88" s="10" t="s">
        <v>49</v>
      </c>
      <c r="E88" s="12">
        <f t="shared" si="7"/>
        <v>924</v>
      </c>
      <c r="F88" s="12">
        <f t="shared" si="8"/>
        <v>176</v>
      </c>
      <c r="G88" s="14">
        <v>1100.0</v>
      </c>
    </row>
    <row r="89" ht="15.75" customHeight="1">
      <c r="A89" s="9"/>
      <c r="B89" s="16"/>
      <c r="C89" s="16"/>
      <c r="D89" s="10"/>
      <c r="G89" s="14"/>
    </row>
    <row r="90" ht="15.75" customHeight="1">
      <c r="A90" s="15"/>
      <c r="B90" s="11"/>
      <c r="C90" s="11"/>
      <c r="D90" s="11"/>
      <c r="G90" s="12"/>
    </row>
    <row r="91" ht="15.75" customHeight="1">
      <c r="A91" s="9">
        <v>45294.0</v>
      </c>
      <c r="B91" s="10" t="s">
        <v>50</v>
      </c>
      <c r="C91" s="10" t="s">
        <v>8</v>
      </c>
      <c r="D91" s="10">
        <v>220280.0</v>
      </c>
      <c r="E91" s="12">
        <f t="shared" ref="E91:E109" si="9">G91-F91</f>
        <v>94.0884</v>
      </c>
      <c r="F91" s="12">
        <f t="shared" ref="F91:F109" si="10">MULTIPLY(G91,0.16)</f>
        <v>17.9216</v>
      </c>
      <c r="G91" s="14">
        <v>112.01</v>
      </c>
    </row>
    <row r="92" ht="15.75" customHeight="1">
      <c r="A92" s="9">
        <v>45294.0</v>
      </c>
      <c r="B92" s="10" t="s">
        <v>9</v>
      </c>
      <c r="C92" s="10" t="s">
        <v>8</v>
      </c>
      <c r="D92" s="10">
        <v>17237.0</v>
      </c>
      <c r="E92" s="12">
        <f t="shared" si="9"/>
        <v>79.8</v>
      </c>
      <c r="F92" s="12">
        <f t="shared" si="10"/>
        <v>15.2</v>
      </c>
      <c r="G92" s="14">
        <v>95.0</v>
      </c>
    </row>
    <row r="93" ht="15.75" customHeight="1">
      <c r="A93" s="9">
        <v>45294.0</v>
      </c>
      <c r="B93" s="10" t="s">
        <v>9</v>
      </c>
      <c r="C93" s="10" t="s">
        <v>8</v>
      </c>
      <c r="D93" s="10">
        <v>17224.0</v>
      </c>
      <c r="E93" s="12">
        <f t="shared" si="9"/>
        <v>47.04</v>
      </c>
      <c r="F93" s="12">
        <f t="shared" si="10"/>
        <v>8.96</v>
      </c>
      <c r="G93" s="14">
        <v>56.0</v>
      </c>
    </row>
    <row r="94" ht="15.75" customHeight="1">
      <c r="A94" s="9">
        <v>45294.0</v>
      </c>
      <c r="B94" s="10" t="s">
        <v>9</v>
      </c>
      <c r="C94" s="10" t="s">
        <v>8</v>
      </c>
      <c r="D94" s="10">
        <v>17222.0</v>
      </c>
      <c r="E94" s="12">
        <f t="shared" si="9"/>
        <v>26.8884</v>
      </c>
      <c r="F94" s="12">
        <f t="shared" si="10"/>
        <v>5.1216</v>
      </c>
      <c r="G94" s="14">
        <v>32.01</v>
      </c>
    </row>
    <row r="95" ht="15.75" customHeight="1">
      <c r="A95" s="9">
        <v>45295.0</v>
      </c>
      <c r="B95" s="10" t="s">
        <v>9</v>
      </c>
      <c r="C95" s="10" t="s">
        <v>8</v>
      </c>
      <c r="D95" s="10">
        <v>17289.0</v>
      </c>
      <c r="E95" s="12">
        <f t="shared" si="9"/>
        <v>148.68</v>
      </c>
      <c r="F95" s="12">
        <f t="shared" si="10"/>
        <v>28.32</v>
      </c>
      <c r="G95" s="14">
        <v>177.0</v>
      </c>
    </row>
    <row r="96" ht="15.75" customHeight="1">
      <c r="A96" s="9">
        <v>45295.0</v>
      </c>
      <c r="B96" s="10" t="s">
        <v>9</v>
      </c>
      <c r="C96" s="10" t="s">
        <v>8</v>
      </c>
      <c r="D96" s="10">
        <v>17269.0</v>
      </c>
      <c r="E96" s="12">
        <f t="shared" si="9"/>
        <v>33.6</v>
      </c>
      <c r="F96" s="12">
        <f t="shared" si="10"/>
        <v>6.4</v>
      </c>
      <c r="G96" s="14">
        <v>40.0</v>
      </c>
    </row>
    <row r="97" ht="15.75" customHeight="1">
      <c r="A97" s="9">
        <v>45295.0</v>
      </c>
      <c r="B97" s="10" t="s">
        <v>9</v>
      </c>
      <c r="C97" s="10" t="s">
        <v>8</v>
      </c>
      <c r="D97" s="10">
        <v>68052.0</v>
      </c>
      <c r="E97" s="12">
        <f t="shared" si="9"/>
        <v>142.8</v>
      </c>
      <c r="F97" s="12">
        <f t="shared" si="10"/>
        <v>27.2</v>
      </c>
      <c r="G97" s="14">
        <v>170.0</v>
      </c>
    </row>
    <row r="98" ht="15.75" customHeight="1">
      <c r="A98" s="9">
        <v>45295.0</v>
      </c>
      <c r="B98" s="10" t="s">
        <v>9</v>
      </c>
      <c r="C98" s="10" t="s">
        <v>8</v>
      </c>
      <c r="D98" s="10">
        <v>17257.0</v>
      </c>
      <c r="E98" s="12">
        <f t="shared" si="9"/>
        <v>31.92</v>
      </c>
      <c r="F98" s="12">
        <f t="shared" si="10"/>
        <v>6.08</v>
      </c>
      <c r="G98" s="14">
        <v>38.0</v>
      </c>
    </row>
    <row r="99" ht="15.75" customHeight="1">
      <c r="A99" s="9">
        <v>45295.0</v>
      </c>
      <c r="B99" s="10" t="s">
        <v>9</v>
      </c>
      <c r="C99" s="10" t="s">
        <v>8</v>
      </c>
      <c r="D99" s="10">
        <v>17252.0</v>
      </c>
      <c r="E99" s="12">
        <f t="shared" si="9"/>
        <v>61.32</v>
      </c>
      <c r="F99" s="12">
        <f t="shared" si="10"/>
        <v>11.68</v>
      </c>
      <c r="G99" s="14">
        <v>73.0</v>
      </c>
    </row>
    <row r="100" ht="15.75" customHeight="1">
      <c r="A100" s="9">
        <v>45296.0</v>
      </c>
      <c r="B100" s="10" t="s">
        <v>9</v>
      </c>
      <c r="C100" s="10" t="s">
        <v>8</v>
      </c>
      <c r="D100" s="10">
        <v>17308.0</v>
      </c>
      <c r="E100" s="12">
        <f t="shared" si="9"/>
        <v>96.6</v>
      </c>
      <c r="F100" s="12">
        <f t="shared" si="10"/>
        <v>18.4</v>
      </c>
      <c r="G100" s="14">
        <v>115.0</v>
      </c>
    </row>
    <row r="101" ht="15.75" customHeight="1">
      <c r="A101" s="9">
        <v>45296.0</v>
      </c>
      <c r="B101" s="10" t="s">
        <v>32</v>
      </c>
      <c r="C101" s="10" t="s">
        <v>8</v>
      </c>
      <c r="D101" s="10">
        <v>1126.0</v>
      </c>
      <c r="E101" s="12">
        <f t="shared" si="9"/>
        <v>882</v>
      </c>
      <c r="F101" s="12">
        <f t="shared" si="10"/>
        <v>168</v>
      </c>
      <c r="G101" s="14">
        <v>1050.0</v>
      </c>
    </row>
    <row r="102" ht="15.75" customHeight="1">
      <c r="A102" s="9">
        <v>45296.0</v>
      </c>
      <c r="B102" s="10" t="s">
        <v>9</v>
      </c>
      <c r="C102" s="10" t="s">
        <v>8</v>
      </c>
      <c r="D102" s="10">
        <v>17316.0</v>
      </c>
      <c r="E102" s="12">
        <f t="shared" si="9"/>
        <v>57.96</v>
      </c>
      <c r="F102" s="12">
        <f t="shared" si="10"/>
        <v>11.04</v>
      </c>
      <c r="G102" s="14">
        <v>69.0</v>
      </c>
    </row>
    <row r="103" ht="15.75" customHeight="1">
      <c r="A103" s="9">
        <v>45296.0</v>
      </c>
      <c r="B103" s="10" t="s">
        <v>51</v>
      </c>
      <c r="C103" s="10" t="s">
        <v>8</v>
      </c>
      <c r="D103" s="10">
        <v>52.0</v>
      </c>
      <c r="E103" s="12">
        <f t="shared" si="9"/>
        <v>801.3012</v>
      </c>
      <c r="F103" s="12">
        <f t="shared" si="10"/>
        <v>152.6288</v>
      </c>
      <c r="G103" s="14">
        <v>953.93</v>
      </c>
    </row>
    <row r="104" ht="15.75" customHeight="1">
      <c r="A104" s="9">
        <v>45296.0</v>
      </c>
      <c r="B104" s="10" t="s">
        <v>9</v>
      </c>
      <c r="C104" s="10" t="s">
        <v>8</v>
      </c>
      <c r="D104" s="10">
        <v>17326.0</v>
      </c>
      <c r="E104" s="12">
        <f t="shared" si="9"/>
        <v>203.28</v>
      </c>
      <c r="F104" s="12">
        <f t="shared" si="10"/>
        <v>38.72</v>
      </c>
      <c r="G104" s="14">
        <v>242.0</v>
      </c>
    </row>
    <row r="105" ht="15.75" customHeight="1">
      <c r="A105" s="9">
        <v>45296.0</v>
      </c>
      <c r="B105" s="10" t="s">
        <v>9</v>
      </c>
      <c r="C105" s="10" t="s">
        <v>8</v>
      </c>
      <c r="D105" s="10">
        <v>17331.0</v>
      </c>
      <c r="E105" s="12">
        <f t="shared" si="9"/>
        <v>51.24</v>
      </c>
      <c r="F105" s="12">
        <f t="shared" si="10"/>
        <v>9.76</v>
      </c>
      <c r="G105" s="14">
        <v>61.0</v>
      </c>
    </row>
    <row r="106" ht="15.75" customHeight="1">
      <c r="A106" s="9">
        <v>45296.0</v>
      </c>
      <c r="B106" s="10" t="s">
        <v>9</v>
      </c>
      <c r="C106" s="10" t="s">
        <v>8</v>
      </c>
      <c r="D106" s="10">
        <v>17321.0</v>
      </c>
      <c r="E106" s="12">
        <f t="shared" si="9"/>
        <v>82.32</v>
      </c>
      <c r="F106" s="12">
        <f t="shared" si="10"/>
        <v>15.68</v>
      </c>
      <c r="G106" s="14">
        <v>98.0</v>
      </c>
    </row>
    <row r="107" ht="15.75" customHeight="1">
      <c r="A107" s="9">
        <v>45296.0</v>
      </c>
      <c r="B107" s="10" t="s">
        <v>10</v>
      </c>
      <c r="C107" s="10" t="s">
        <v>8</v>
      </c>
      <c r="D107" s="10" t="s">
        <v>52</v>
      </c>
      <c r="E107" s="12">
        <f t="shared" si="9"/>
        <v>44.52</v>
      </c>
      <c r="F107" s="12">
        <f t="shared" si="10"/>
        <v>8.48</v>
      </c>
      <c r="G107" s="14">
        <v>53.0</v>
      </c>
    </row>
    <row r="108" ht="15.75" customHeight="1">
      <c r="A108" s="9">
        <v>45297.0</v>
      </c>
      <c r="B108" s="10" t="s">
        <v>9</v>
      </c>
      <c r="C108" s="10" t="s">
        <v>8</v>
      </c>
      <c r="D108" s="10">
        <v>17344.0</v>
      </c>
      <c r="E108" s="12">
        <f t="shared" si="9"/>
        <v>230.16</v>
      </c>
      <c r="F108" s="12">
        <f t="shared" si="10"/>
        <v>43.84</v>
      </c>
      <c r="G108" s="14">
        <v>274.0</v>
      </c>
    </row>
    <row r="109" ht="15.75" customHeight="1">
      <c r="A109" s="9">
        <v>45297.0</v>
      </c>
      <c r="B109" s="10" t="s">
        <v>24</v>
      </c>
      <c r="C109" s="10" t="s">
        <v>25</v>
      </c>
      <c r="D109" s="10" t="s">
        <v>53</v>
      </c>
      <c r="E109" s="12">
        <f t="shared" si="9"/>
        <v>364.2576</v>
      </c>
      <c r="F109" s="12">
        <f t="shared" si="10"/>
        <v>69.3824</v>
      </c>
      <c r="G109" s="14">
        <v>433.64</v>
      </c>
    </row>
    <row r="110" ht="15.75" customHeight="1">
      <c r="A110" s="9"/>
      <c r="B110" s="11"/>
      <c r="C110" s="11"/>
      <c r="D110" s="11"/>
      <c r="G110" s="12"/>
    </row>
    <row r="111" ht="15.75" customHeight="1">
      <c r="A111" s="9">
        <v>45299.0</v>
      </c>
      <c r="B111" s="10" t="s">
        <v>9</v>
      </c>
      <c r="C111" s="10" t="s">
        <v>8</v>
      </c>
      <c r="D111" s="10">
        <v>17383.0</v>
      </c>
      <c r="E111" s="12">
        <f t="shared" ref="E111:E168" si="11">G111-F111</f>
        <v>317.52</v>
      </c>
      <c r="F111" s="12">
        <f t="shared" ref="F111:F168" si="12">MULTIPLY(G111,0.16)</f>
        <v>60.48</v>
      </c>
      <c r="G111" s="14">
        <v>378.0</v>
      </c>
    </row>
    <row r="112" ht="15.75" customHeight="1">
      <c r="A112" s="9">
        <v>45299.0</v>
      </c>
      <c r="B112" s="10" t="s">
        <v>54</v>
      </c>
      <c r="C112" s="10" t="s">
        <v>55</v>
      </c>
      <c r="D112" s="10">
        <v>25905.0</v>
      </c>
      <c r="E112" s="12">
        <f t="shared" si="11"/>
        <v>63.0924</v>
      </c>
      <c r="F112" s="12">
        <f t="shared" si="12"/>
        <v>12.0176</v>
      </c>
      <c r="G112" s="14">
        <v>75.11</v>
      </c>
    </row>
    <row r="113" ht="15.75" customHeight="1">
      <c r="A113" s="9">
        <v>45299.0</v>
      </c>
      <c r="B113" s="10" t="s">
        <v>9</v>
      </c>
      <c r="C113" s="10" t="s">
        <v>8</v>
      </c>
      <c r="D113" s="10">
        <v>17386.0</v>
      </c>
      <c r="E113" s="12">
        <f t="shared" si="11"/>
        <v>31.08</v>
      </c>
      <c r="F113" s="12">
        <f t="shared" si="12"/>
        <v>5.92</v>
      </c>
      <c r="G113" s="14">
        <v>37.0</v>
      </c>
    </row>
    <row r="114" ht="15.75" customHeight="1">
      <c r="A114" s="9">
        <v>45299.0</v>
      </c>
      <c r="B114" s="10" t="s">
        <v>56</v>
      </c>
      <c r="C114" s="10" t="s">
        <v>8</v>
      </c>
      <c r="D114" s="10" t="s">
        <v>20</v>
      </c>
      <c r="E114" s="12">
        <f t="shared" si="11"/>
        <v>32.76</v>
      </c>
      <c r="F114" s="12">
        <f t="shared" si="12"/>
        <v>6.24</v>
      </c>
      <c r="G114" s="14">
        <v>39.0</v>
      </c>
    </row>
    <row r="115" ht="15.75" customHeight="1">
      <c r="A115" s="9">
        <v>45299.0</v>
      </c>
      <c r="B115" s="10" t="s">
        <v>24</v>
      </c>
      <c r="C115" s="10" t="s">
        <v>25</v>
      </c>
      <c r="D115" s="10" t="s">
        <v>57</v>
      </c>
      <c r="E115" s="12">
        <f t="shared" si="11"/>
        <v>118.7172</v>
      </c>
      <c r="F115" s="12">
        <f t="shared" si="12"/>
        <v>22.6128</v>
      </c>
      <c r="G115" s="14">
        <v>141.33</v>
      </c>
    </row>
    <row r="116" ht="15.75" customHeight="1">
      <c r="A116" s="9">
        <v>45299.0</v>
      </c>
      <c r="B116" s="10" t="s">
        <v>9</v>
      </c>
      <c r="C116" s="10" t="s">
        <v>8</v>
      </c>
      <c r="D116" s="10">
        <v>17387.0</v>
      </c>
      <c r="E116" s="12">
        <f t="shared" si="11"/>
        <v>135.24</v>
      </c>
      <c r="F116" s="12">
        <f t="shared" si="12"/>
        <v>25.76</v>
      </c>
      <c r="G116" s="14">
        <v>161.0</v>
      </c>
    </row>
    <row r="117" ht="15.75" customHeight="1">
      <c r="A117" s="9">
        <v>45300.0</v>
      </c>
      <c r="B117" s="10" t="s">
        <v>12</v>
      </c>
      <c r="C117" s="10" t="s">
        <v>8</v>
      </c>
      <c r="D117" s="10" t="s">
        <v>58</v>
      </c>
      <c r="E117" s="12">
        <f t="shared" si="11"/>
        <v>75.6</v>
      </c>
      <c r="F117" s="12">
        <f t="shared" si="12"/>
        <v>14.4</v>
      </c>
      <c r="G117" s="14">
        <v>90.0</v>
      </c>
    </row>
    <row r="118" ht="15.75" customHeight="1">
      <c r="A118" s="9">
        <v>45301.0</v>
      </c>
      <c r="B118" s="10" t="s">
        <v>9</v>
      </c>
      <c r="C118" s="10" t="s">
        <v>8</v>
      </c>
      <c r="D118" s="10">
        <v>17437.0</v>
      </c>
      <c r="E118" s="12">
        <f t="shared" si="11"/>
        <v>15.12</v>
      </c>
      <c r="F118" s="12">
        <f t="shared" si="12"/>
        <v>2.88</v>
      </c>
      <c r="G118" s="14">
        <v>18.0</v>
      </c>
    </row>
    <row r="119" ht="15.75" customHeight="1">
      <c r="A119" s="9">
        <v>45301.0</v>
      </c>
      <c r="B119" s="10" t="s">
        <v>9</v>
      </c>
      <c r="C119" s="10" t="s">
        <v>8</v>
      </c>
      <c r="D119" s="10">
        <v>17455.0</v>
      </c>
      <c r="E119" s="12">
        <f t="shared" si="11"/>
        <v>53.76</v>
      </c>
      <c r="F119" s="12">
        <f t="shared" si="12"/>
        <v>10.24</v>
      </c>
      <c r="G119" s="14">
        <v>64.0</v>
      </c>
    </row>
    <row r="120" ht="15.75" customHeight="1">
      <c r="A120" s="9">
        <v>45301.0</v>
      </c>
      <c r="B120" s="10" t="s">
        <v>9</v>
      </c>
      <c r="C120" s="10" t="s">
        <v>8</v>
      </c>
      <c r="D120" s="10">
        <v>17459.0</v>
      </c>
      <c r="E120" s="12">
        <f t="shared" si="11"/>
        <v>166.32</v>
      </c>
      <c r="F120" s="12">
        <f t="shared" si="12"/>
        <v>31.68</v>
      </c>
      <c r="G120" s="14">
        <v>198.0</v>
      </c>
    </row>
    <row r="121" ht="15.75" customHeight="1">
      <c r="A121" s="9">
        <v>45301.0</v>
      </c>
      <c r="B121" s="10" t="s">
        <v>9</v>
      </c>
      <c r="C121" s="10" t="s">
        <v>8</v>
      </c>
      <c r="D121" s="10">
        <v>17465.0</v>
      </c>
      <c r="E121" s="12">
        <f t="shared" si="11"/>
        <v>123.48</v>
      </c>
      <c r="F121" s="12">
        <f t="shared" si="12"/>
        <v>23.52</v>
      </c>
      <c r="G121" s="14">
        <v>147.0</v>
      </c>
    </row>
    <row r="122" ht="15.75" customHeight="1">
      <c r="A122" s="9">
        <v>45301.0</v>
      </c>
      <c r="B122" s="10" t="s">
        <v>24</v>
      </c>
      <c r="C122" s="10" t="s">
        <v>25</v>
      </c>
      <c r="D122" s="10" t="s">
        <v>59</v>
      </c>
      <c r="E122" s="12">
        <f t="shared" si="11"/>
        <v>450.66</v>
      </c>
      <c r="F122" s="12">
        <f t="shared" si="12"/>
        <v>85.84</v>
      </c>
      <c r="G122" s="14">
        <v>536.5</v>
      </c>
    </row>
    <row r="123" ht="15.75" customHeight="1">
      <c r="A123" s="9">
        <v>45301.0</v>
      </c>
      <c r="B123" s="16" t="s">
        <v>14</v>
      </c>
      <c r="C123" s="16" t="s">
        <v>15</v>
      </c>
      <c r="D123" s="10" t="s">
        <v>20</v>
      </c>
      <c r="E123" s="12">
        <f t="shared" si="11"/>
        <v>78.792</v>
      </c>
      <c r="F123" s="12">
        <f t="shared" si="12"/>
        <v>15.008</v>
      </c>
      <c r="G123" s="14">
        <v>93.8</v>
      </c>
    </row>
    <row r="124" ht="15.75" customHeight="1">
      <c r="A124" s="9">
        <v>45302.0</v>
      </c>
      <c r="B124" s="16" t="s">
        <v>14</v>
      </c>
      <c r="C124" s="16" t="s">
        <v>15</v>
      </c>
      <c r="D124" s="10" t="s">
        <v>20</v>
      </c>
      <c r="E124" s="12">
        <f t="shared" si="11"/>
        <v>33.9444</v>
      </c>
      <c r="F124" s="12">
        <f t="shared" si="12"/>
        <v>6.4656</v>
      </c>
      <c r="G124" s="14">
        <v>40.41</v>
      </c>
    </row>
    <row r="125" ht="15.75" customHeight="1">
      <c r="A125" s="9">
        <v>45302.0</v>
      </c>
      <c r="B125" s="10" t="s">
        <v>9</v>
      </c>
      <c r="C125" s="10" t="s">
        <v>8</v>
      </c>
      <c r="D125" s="10">
        <v>17493.0</v>
      </c>
      <c r="E125" s="12">
        <f t="shared" si="11"/>
        <v>142.8</v>
      </c>
      <c r="F125" s="12">
        <f t="shared" si="12"/>
        <v>27.2</v>
      </c>
      <c r="G125" s="14">
        <v>170.0</v>
      </c>
    </row>
    <row r="126" ht="15.75" customHeight="1">
      <c r="A126" s="9">
        <v>45302.0</v>
      </c>
      <c r="B126" s="10" t="s">
        <v>9</v>
      </c>
      <c r="C126" s="10" t="s">
        <v>8</v>
      </c>
      <c r="D126" s="10">
        <v>17501.0</v>
      </c>
      <c r="E126" s="12">
        <f t="shared" si="11"/>
        <v>164.64</v>
      </c>
      <c r="F126" s="12">
        <f t="shared" si="12"/>
        <v>31.36</v>
      </c>
      <c r="G126" s="14">
        <v>196.0</v>
      </c>
    </row>
    <row r="127" ht="15.75" customHeight="1">
      <c r="A127" s="9">
        <v>45302.0</v>
      </c>
      <c r="B127" s="10" t="s">
        <v>12</v>
      </c>
      <c r="C127" s="10" t="s">
        <v>8</v>
      </c>
      <c r="D127" s="10" t="s">
        <v>60</v>
      </c>
      <c r="E127" s="12">
        <f t="shared" si="11"/>
        <v>199.122</v>
      </c>
      <c r="F127" s="12">
        <f t="shared" si="12"/>
        <v>37.928</v>
      </c>
      <c r="G127" s="14">
        <v>237.05</v>
      </c>
    </row>
    <row r="128" ht="15.75" customHeight="1">
      <c r="A128" s="9">
        <v>45302.0</v>
      </c>
      <c r="B128" s="10" t="s">
        <v>12</v>
      </c>
      <c r="C128" s="10" t="s">
        <v>8</v>
      </c>
      <c r="D128" s="10" t="s">
        <v>61</v>
      </c>
      <c r="E128" s="12">
        <f t="shared" si="11"/>
        <v>92.4</v>
      </c>
      <c r="F128" s="12">
        <f t="shared" si="12"/>
        <v>17.6</v>
      </c>
      <c r="G128" s="14">
        <v>110.0</v>
      </c>
    </row>
    <row r="129" ht="15.75" customHeight="1">
      <c r="A129" s="9">
        <v>45303.0</v>
      </c>
      <c r="B129" s="10" t="s">
        <v>9</v>
      </c>
      <c r="C129" s="10" t="s">
        <v>8</v>
      </c>
      <c r="D129" s="10">
        <v>17520.0</v>
      </c>
      <c r="E129" s="12">
        <f t="shared" si="11"/>
        <v>23.52</v>
      </c>
      <c r="F129" s="12">
        <f t="shared" si="12"/>
        <v>4.48</v>
      </c>
      <c r="G129" s="14">
        <v>28.0</v>
      </c>
    </row>
    <row r="130" ht="15.75" customHeight="1">
      <c r="A130" s="9">
        <v>45303.0</v>
      </c>
      <c r="B130" s="10" t="s">
        <v>9</v>
      </c>
      <c r="C130" s="10" t="s">
        <v>8</v>
      </c>
      <c r="D130" s="10">
        <v>17534.0</v>
      </c>
      <c r="E130" s="12">
        <f t="shared" si="11"/>
        <v>123.48</v>
      </c>
      <c r="F130" s="12">
        <f t="shared" si="12"/>
        <v>23.52</v>
      </c>
      <c r="G130" s="14">
        <v>147.0</v>
      </c>
    </row>
    <row r="131" ht="15.75" customHeight="1">
      <c r="A131" s="9">
        <v>45304.0</v>
      </c>
      <c r="B131" s="10" t="s">
        <v>62</v>
      </c>
      <c r="C131" s="10" t="s">
        <v>25</v>
      </c>
      <c r="D131" s="10">
        <v>698267.0</v>
      </c>
      <c r="E131" s="12">
        <f t="shared" si="11"/>
        <v>683.97</v>
      </c>
      <c r="F131" s="12">
        <f t="shared" si="12"/>
        <v>130.28</v>
      </c>
      <c r="G131" s="14">
        <v>814.25</v>
      </c>
    </row>
    <row r="132" ht="15.75" customHeight="1">
      <c r="A132" s="9">
        <v>45304.0</v>
      </c>
      <c r="B132" s="10" t="s">
        <v>9</v>
      </c>
      <c r="C132" s="10" t="s">
        <v>8</v>
      </c>
      <c r="D132" s="10">
        <v>17544.0</v>
      </c>
      <c r="E132" s="12">
        <f t="shared" si="11"/>
        <v>123.48</v>
      </c>
      <c r="F132" s="12">
        <f t="shared" si="12"/>
        <v>23.52</v>
      </c>
      <c r="G132" s="14">
        <v>147.0</v>
      </c>
    </row>
    <row r="133" ht="15.75" customHeight="1">
      <c r="A133" s="9">
        <v>45304.0</v>
      </c>
      <c r="B133" s="10" t="s">
        <v>63</v>
      </c>
      <c r="C133" s="10" t="s">
        <v>8</v>
      </c>
      <c r="D133" s="10">
        <v>695104.0</v>
      </c>
      <c r="E133" s="12">
        <f t="shared" si="11"/>
        <v>2013.4968</v>
      </c>
      <c r="F133" s="12">
        <f t="shared" si="12"/>
        <v>383.5232</v>
      </c>
      <c r="G133" s="14">
        <v>2397.02</v>
      </c>
    </row>
    <row r="134" ht="15.75" customHeight="1">
      <c r="A134" s="9">
        <v>45304.0</v>
      </c>
      <c r="B134" s="10" t="s">
        <v>9</v>
      </c>
      <c r="C134" s="10" t="s">
        <v>8</v>
      </c>
      <c r="D134" s="10">
        <v>17549.0</v>
      </c>
      <c r="E134" s="12">
        <f t="shared" si="11"/>
        <v>918.12</v>
      </c>
      <c r="F134" s="12">
        <f t="shared" si="12"/>
        <v>174.88</v>
      </c>
      <c r="G134" s="14">
        <v>1093.0</v>
      </c>
    </row>
    <row r="135" ht="15.75" customHeight="1">
      <c r="A135" s="9">
        <v>45306.0</v>
      </c>
      <c r="B135" s="10" t="s">
        <v>9</v>
      </c>
      <c r="C135" s="10" t="s">
        <v>8</v>
      </c>
      <c r="D135" s="10">
        <v>17565.0</v>
      </c>
      <c r="E135" s="12">
        <f t="shared" si="11"/>
        <v>48.72</v>
      </c>
      <c r="F135" s="12">
        <f t="shared" si="12"/>
        <v>9.28</v>
      </c>
      <c r="G135" s="14">
        <v>58.0</v>
      </c>
    </row>
    <row r="136" ht="15.75" customHeight="1">
      <c r="A136" s="9">
        <v>45306.0</v>
      </c>
      <c r="B136" s="10" t="s">
        <v>9</v>
      </c>
      <c r="C136" s="10" t="s">
        <v>8</v>
      </c>
      <c r="D136" s="10">
        <v>17572.0</v>
      </c>
      <c r="E136" s="12">
        <f t="shared" si="11"/>
        <v>96.6</v>
      </c>
      <c r="F136" s="12">
        <f t="shared" si="12"/>
        <v>18.4</v>
      </c>
      <c r="G136" s="14">
        <v>115.0</v>
      </c>
    </row>
    <row r="137" ht="15.75" customHeight="1">
      <c r="A137" s="9">
        <v>45306.0</v>
      </c>
      <c r="B137" s="10" t="s">
        <v>63</v>
      </c>
      <c r="C137" s="10" t="s">
        <v>8</v>
      </c>
      <c r="D137" s="10">
        <v>695141.0</v>
      </c>
      <c r="E137" s="12">
        <f t="shared" si="11"/>
        <v>905.2932</v>
      </c>
      <c r="F137" s="12">
        <f t="shared" si="12"/>
        <v>172.4368</v>
      </c>
      <c r="G137" s="14">
        <v>1077.73</v>
      </c>
    </row>
    <row r="138" ht="15.75" customHeight="1">
      <c r="A138" s="9">
        <v>45306.0</v>
      </c>
      <c r="B138" s="10" t="s">
        <v>64</v>
      </c>
      <c r="C138" s="10" t="s">
        <v>48</v>
      </c>
      <c r="D138" s="10">
        <v>1078158.0</v>
      </c>
      <c r="E138" s="12">
        <f t="shared" si="11"/>
        <v>350.784</v>
      </c>
      <c r="F138" s="12">
        <f t="shared" si="12"/>
        <v>66.816</v>
      </c>
      <c r="G138" s="14">
        <v>417.6</v>
      </c>
    </row>
    <row r="139" ht="15.75" customHeight="1">
      <c r="A139" s="9">
        <v>45306.0</v>
      </c>
      <c r="B139" s="10" t="s">
        <v>9</v>
      </c>
      <c r="C139" s="10" t="s">
        <v>8</v>
      </c>
      <c r="D139" s="10">
        <v>17589.0</v>
      </c>
      <c r="E139" s="12">
        <f t="shared" si="11"/>
        <v>83.16</v>
      </c>
      <c r="F139" s="12">
        <f t="shared" si="12"/>
        <v>15.84</v>
      </c>
      <c r="G139" s="14">
        <v>99.0</v>
      </c>
    </row>
    <row r="140" ht="15.75" customHeight="1">
      <c r="A140" s="9">
        <v>45306.0</v>
      </c>
      <c r="B140" s="16" t="s">
        <v>14</v>
      </c>
      <c r="C140" s="16" t="s">
        <v>15</v>
      </c>
      <c r="D140" s="10" t="s">
        <v>65</v>
      </c>
      <c r="E140" s="12">
        <f t="shared" si="11"/>
        <v>24.948</v>
      </c>
      <c r="F140" s="12">
        <f t="shared" si="12"/>
        <v>4.752</v>
      </c>
      <c r="G140" s="14">
        <v>29.7</v>
      </c>
    </row>
    <row r="141" ht="15.75" customHeight="1">
      <c r="A141" s="9">
        <v>45308.0</v>
      </c>
      <c r="B141" s="10" t="s">
        <v>9</v>
      </c>
      <c r="C141" s="10" t="s">
        <v>8</v>
      </c>
      <c r="D141" s="10">
        <v>17672.0</v>
      </c>
      <c r="E141" s="12">
        <f t="shared" si="11"/>
        <v>252.84</v>
      </c>
      <c r="F141" s="12">
        <f t="shared" si="12"/>
        <v>48.16</v>
      </c>
      <c r="G141" s="14">
        <v>301.0</v>
      </c>
    </row>
    <row r="142" ht="15.75" customHeight="1">
      <c r="A142" s="9">
        <v>45308.0</v>
      </c>
      <c r="B142" s="10" t="s">
        <v>63</v>
      </c>
      <c r="C142" s="10" t="s">
        <v>8</v>
      </c>
      <c r="D142" s="10">
        <v>695320.0</v>
      </c>
      <c r="E142" s="12">
        <f t="shared" si="11"/>
        <v>507.864</v>
      </c>
      <c r="F142" s="12">
        <f t="shared" si="12"/>
        <v>96.736</v>
      </c>
      <c r="G142" s="14">
        <v>604.6</v>
      </c>
    </row>
    <row r="143" ht="15.75" customHeight="1">
      <c r="A143" s="9">
        <v>45308.0</v>
      </c>
      <c r="B143" s="10" t="s">
        <v>9</v>
      </c>
      <c r="C143" s="10" t="s">
        <v>8</v>
      </c>
      <c r="D143" s="10">
        <v>17642.0</v>
      </c>
      <c r="E143" s="12">
        <f t="shared" si="11"/>
        <v>327.6</v>
      </c>
      <c r="F143" s="12">
        <f t="shared" si="12"/>
        <v>62.4</v>
      </c>
      <c r="G143" s="14">
        <v>390.0</v>
      </c>
    </row>
    <row r="144" ht="15.75" customHeight="1">
      <c r="A144" s="9">
        <v>45308.0</v>
      </c>
      <c r="B144" s="10" t="s">
        <v>9</v>
      </c>
      <c r="C144" s="10" t="s">
        <v>8</v>
      </c>
      <c r="D144" s="10">
        <v>17644.0</v>
      </c>
      <c r="E144" s="12">
        <f t="shared" si="11"/>
        <v>137.76</v>
      </c>
      <c r="F144" s="12">
        <f t="shared" si="12"/>
        <v>26.24</v>
      </c>
      <c r="G144" s="14">
        <v>164.0</v>
      </c>
    </row>
    <row r="145" ht="15.75" customHeight="1">
      <c r="A145" s="9">
        <v>45308.0</v>
      </c>
      <c r="B145" s="16" t="s">
        <v>14</v>
      </c>
      <c r="C145" s="16" t="s">
        <v>15</v>
      </c>
      <c r="D145" s="10" t="s">
        <v>20</v>
      </c>
      <c r="E145" s="12">
        <f t="shared" si="11"/>
        <v>25.032</v>
      </c>
      <c r="F145" s="12">
        <f t="shared" si="12"/>
        <v>4.768</v>
      </c>
      <c r="G145" s="14">
        <v>29.8</v>
      </c>
    </row>
    <row r="146" ht="15.75" customHeight="1">
      <c r="A146" s="9">
        <v>45308.0</v>
      </c>
      <c r="B146" s="10" t="s">
        <v>12</v>
      </c>
      <c r="C146" s="10" t="s">
        <v>8</v>
      </c>
      <c r="D146" s="10" t="s">
        <v>66</v>
      </c>
      <c r="E146" s="12">
        <f t="shared" si="11"/>
        <v>36.12</v>
      </c>
      <c r="F146" s="12">
        <f t="shared" si="12"/>
        <v>6.88</v>
      </c>
      <c r="G146" s="14">
        <v>43.0</v>
      </c>
    </row>
    <row r="147" ht="15.75" customHeight="1">
      <c r="A147" s="9">
        <v>45308.0</v>
      </c>
      <c r="B147" s="10" t="s">
        <v>12</v>
      </c>
      <c r="C147" s="10" t="s">
        <v>8</v>
      </c>
      <c r="D147" s="10" t="s">
        <v>67</v>
      </c>
      <c r="E147" s="12">
        <f t="shared" si="11"/>
        <v>211.6716</v>
      </c>
      <c r="F147" s="12">
        <f t="shared" si="12"/>
        <v>40.3184</v>
      </c>
      <c r="G147" s="14">
        <v>251.99</v>
      </c>
    </row>
    <row r="148" ht="15.75" customHeight="1">
      <c r="A148" s="9">
        <v>45309.0</v>
      </c>
      <c r="B148" s="10" t="s">
        <v>9</v>
      </c>
      <c r="C148" s="10" t="s">
        <v>8</v>
      </c>
      <c r="D148" s="10">
        <v>17724.0</v>
      </c>
      <c r="E148" s="12">
        <f t="shared" si="11"/>
        <v>80.64</v>
      </c>
      <c r="F148" s="12">
        <f t="shared" si="12"/>
        <v>15.36</v>
      </c>
      <c r="G148" s="14">
        <v>96.0</v>
      </c>
    </row>
    <row r="149" ht="15.75" customHeight="1">
      <c r="A149" s="9">
        <v>45309.0</v>
      </c>
      <c r="B149" s="10" t="s">
        <v>9</v>
      </c>
      <c r="C149" s="10" t="s">
        <v>8</v>
      </c>
      <c r="D149" s="10">
        <v>17719.0</v>
      </c>
      <c r="E149" s="12">
        <f t="shared" si="11"/>
        <v>196.56</v>
      </c>
      <c r="F149" s="12">
        <f t="shared" si="12"/>
        <v>37.44</v>
      </c>
      <c r="G149" s="14">
        <v>234.0</v>
      </c>
    </row>
    <row r="150" ht="15.75" customHeight="1">
      <c r="A150" s="9">
        <v>45309.0</v>
      </c>
      <c r="B150" s="10" t="s">
        <v>9</v>
      </c>
      <c r="C150" s="10" t="s">
        <v>8</v>
      </c>
      <c r="D150" s="10">
        <v>17687.0</v>
      </c>
      <c r="E150" s="12">
        <f t="shared" si="11"/>
        <v>50.82</v>
      </c>
      <c r="F150" s="12">
        <f t="shared" si="12"/>
        <v>9.68</v>
      </c>
      <c r="G150" s="14">
        <v>60.5</v>
      </c>
    </row>
    <row r="151" ht="15.75" customHeight="1">
      <c r="A151" s="9">
        <v>45309.0</v>
      </c>
      <c r="B151" s="10" t="s">
        <v>9</v>
      </c>
      <c r="C151" s="10" t="s">
        <v>8</v>
      </c>
      <c r="D151" s="10">
        <v>17703.0</v>
      </c>
      <c r="E151" s="12">
        <f t="shared" si="11"/>
        <v>28.56</v>
      </c>
      <c r="F151" s="12">
        <f t="shared" si="12"/>
        <v>5.44</v>
      </c>
      <c r="G151" s="14">
        <v>34.0</v>
      </c>
    </row>
    <row r="152" ht="15.75" customHeight="1">
      <c r="A152" s="9">
        <v>45309.0</v>
      </c>
      <c r="B152" s="10" t="s">
        <v>68</v>
      </c>
      <c r="C152" s="10" t="s">
        <v>8</v>
      </c>
      <c r="D152" s="10">
        <v>3636268.0</v>
      </c>
      <c r="E152" s="12">
        <f t="shared" si="11"/>
        <v>1995.504</v>
      </c>
      <c r="F152" s="12">
        <f t="shared" si="12"/>
        <v>380.096</v>
      </c>
      <c r="G152" s="14">
        <v>2375.6</v>
      </c>
    </row>
    <row r="153" ht="15.75" customHeight="1">
      <c r="A153" s="9">
        <v>45309.0</v>
      </c>
      <c r="B153" s="10" t="s">
        <v>9</v>
      </c>
      <c r="C153" s="10" t="s">
        <v>8</v>
      </c>
      <c r="D153" s="10">
        <v>17717.0</v>
      </c>
      <c r="E153" s="12">
        <f t="shared" si="11"/>
        <v>74.76</v>
      </c>
      <c r="F153" s="12">
        <f t="shared" si="12"/>
        <v>14.24</v>
      </c>
      <c r="G153" s="14">
        <v>89.0</v>
      </c>
    </row>
    <row r="154" ht="15.75" customHeight="1">
      <c r="A154" s="9">
        <v>45309.0</v>
      </c>
      <c r="B154" s="10" t="s">
        <v>63</v>
      </c>
      <c r="C154" s="10" t="s">
        <v>8</v>
      </c>
      <c r="D154" s="10">
        <v>744618.0</v>
      </c>
      <c r="E154" s="12">
        <f t="shared" si="11"/>
        <v>652.7472</v>
      </c>
      <c r="F154" s="12">
        <f t="shared" si="12"/>
        <v>124.3328</v>
      </c>
      <c r="G154" s="14">
        <v>777.08</v>
      </c>
    </row>
    <row r="155" ht="15.75" customHeight="1">
      <c r="A155" s="9">
        <v>45309.0</v>
      </c>
      <c r="B155" s="10" t="s">
        <v>9</v>
      </c>
      <c r="C155" s="10" t="s">
        <v>8</v>
      </c>
      <c r="D155" s="10">
        <v>17697.0</v>
      </c>
      <c r="E155" s="12">
        <f t="shared" si="11"/>
        <v>19.32</v>
      </c>
      <c r="F155" s="12">
        <f t="shared" si="12"/>
        <v>3.68</v>
      </c>
      <c r="G155" s="14">
        <v>23.0</v>
      </c>
    </row>
    <row r="156" ht="15.75" customHeight="1">
      <c r="A156" s="9">
        <v>45309.0</v>
      </c>
      <c r="B156" s="10" t="s">
        <v>64</v>
      </c>
      <c r="C156" s="10" t="s">
        <v>48</v>
      </c>
      <c r="D156" s="10">
        <v>1079243.0</v>
      </c>
      <c r="E156" s="12">
        <f t="shared" si="11"/>
        <v>199.038</v>
      </c>
      <c r="F156" s="12">
        <f t="shared" si="12"/>
        <v>37.912</v>
      </c>
      <c r="G156" s="14">
        <v>236.95</v>
      </c>
    </row>
    <row r="157" ht="15.75" customHeight="1">
      <c r="A157" s="9">
        <v>45309.0</v>
      </c>
      <c r="B157" s="16" t="s">
        <v>14</v>
      </c>
      <c r="C157" s="16" t="s">
        <v>15</v>
      </c>
      <c r="D157" s="10" t="s">
        <v>20</v>
      </c>
      <c r="E157" s="12">
        <f t="shared" si="11"/>
        <v>16.632</v>
      </c>
      <c r="F157" s="12">
        <f t="shared" si="12"/>
        <v>3.168</v>
      </c>
      <c r="G157" s="14">
        <v>19.8</v>
      </c>
    </row>
    <row r="158" ht="15.75" customHeight="1">
      <c r="A158" s="9">
        <v>45309.0</v>
      </c>
      <c r="B158" s="16" t="s">
        <v>14</v>
      </c>
      <c r="C158" s="16" t="s">
        <v>15</v>
      </c>
      <c r="D158" s="10" t="s">
        <v>69</v>
      </c>
      <c r="E158" s="12">
        <f t="shared" si="11"/>
        <v>63.6636</v>
      </c>
      <c r="F158" s="12">
        <f t="shared" si="12"/>
        <v>12.1264</v>
      </c>
      <c r="G158" s="14">
        <v>75.79</v>
      </c>
    </row>
    <row r="159" ht="15.75" customHeight="1">
      <c r="A159" s="9">
        <v>45309.0</v>
      </c>
      <c r="B159" s="10" t="s">
        <v>9</v>
      </c>
      <c r="C159" s="10" t="s">
        <v>8</v>
      </c>
      <c r="D159" s="10">
        <v>17688.0</v>
      </c>
      <c r="E159" s="12">
        <f t="shared" si="11"/>
        <v>338.52</v>
      </c>
      <c r="F159" s="12">
        <f t="shared" si="12"/>
        <v>64.48</v>
      </c>
      <c r="G159" s="14">
        <v>403.0</v>
      </c>
    </row>
    <row r="160" ht="15.75" customHeight="1">
      <c r="A160" s="9">
        <v>45310.0</v>
      </c>
      <c r="B160" s="10" t="s">
        <v>63</v>
      </c>
      <c r="C160" s="10" t="s">
        <v>8</v>
      </c>
      <c r="D160" s="10">
        <v>695494.0</v>
      </c>
      <c r="E160" s="12">
        <f t="shared" si="11"/>
        <v>402.696</v>
      </c>
      <c r="F160" s="12">
        <f t="shared" si="12"/>
        <v>76.704</v>
      </c>
      <c r="G160" s="14">
        <v>479.4</v>
      </c>
    </row>
    <row r="161" ht="15.75" customHeight="1">
      <c r="A161" s="9">
        <v>45310.0</v>
      </c>
      <c r="B161" s="10" t="s">
        <v>9</v>
      </c>
      <c r="C161" s="10" t="s">
        <v>8</v>
      </c>
      <c r="D161" s="10">
        <v>17730.0</v>
      </c>
      <c r="E161" s="12">
        <f t="shared" si="11"/>
        <v>54.6</v>
      </c>
      <c r="F161" s="12">
        <f t="shared" si="12"/>
        <v>10.4</v>
      </c>
      <c r="G161" s="14">
        <v>65.0</v>
      </c>
    </row>
    <row r="162" ht="15.75" customHeight="1">
      <c r="A162" s="9">
        <v>45310.0</v>
      </c>
      <c r="B162" s="10" t="s">
        <v>9</v>
      </c>
      <c r="C162" s="10" t="s">
        <v>8</v>
      </c>
      <c r="D162" s="10">
        <v>17731.0</v>
      </c>
      <c r="E162" s="12">
        <f t="shared" si="11"/>
        <v>231</v>
      </c>
      <c r="F162" s="12">
        <f t="shared" si="12"/>
        <v>44</v>
      </c>
      <c r="G162" s="14">
        <v>275.0</v>
      </c>
    </row>
    <row r="163" ht="15.75" customHeight="1">
      <c r="A163" s="9">
        <v>45310.0</v>
      </c>
      <c r="B163" s="10" t="s">
        <v>9</v>
      </c>
      <c r="C163" s="10" t="s">
        <v>8</v>
      </c>
      <c r="D163" s="10">
        <v>17740.0</v>
      </c>
      <c r="E163" s="12">
        <f t="shared" si="11"/>
        <v>132.72</v>
      </c>
      <c r="F163" s="12">
        <f t="shared" si="12"/>
        <v>25.28</v>
      </c>
      <c r="G163" s="14">
        <v>158.0</v>
      </c>
    </row>
    <row r="164" ht="15.75" customHeight="1">
      <c r="A164" s="9">
        <v>45310.0</v>
      </c>
      <c r="B164" s="10" t="s">
        <v>9</v>
      </c>
      <c r="C164" s="10" t="s">
        <v>8</v>
      </c>
      <c r="D164" s="10">
        <v>17742.0</v>
      </c>
      <c r="E164" s="12">
        <f t="shared" si="11"/>
        <v>68.88</v>
      </c>
      <c r="F164" s="12">
        <f t="shared" si="12"/>
        <v>13.12</v>
      </c>
      <c r="G164" s="14">
        <v>82.0</v>
      </c>
    </row>
    <row r="165" ht="15.75" customHeight="1">
      <c r="A165" s="9">
        <v>45310.0</v>
      </c>
      <c r="B165" s="16" t="s">
        <v>14</v>
      </c>
      <c r="C165" s="16" t="s">
        <v>15</v>
      </c>
      <c r="D165" s="10" t="s">
        <v>70</v>
      </c>
      <c r="E165" s="12">
        <f t="shared" si="11"/>
        <v>12.18</v>
      </c>
      <c r="F165" s="12">
        <f t="shared" si="12"/>
        <v>2.32</v>
      </c>
      <c r="G165" s="14">
        <v>14.5</v>
      </c>
    </row>
    <row r="166" ht="15.75" customHeight="1">
      <c r="A166" s="9">
        <v>45310.0</v>
      </c>
      <c r="B166" s="10" t="s">
        <v>9</v>
      </c>
      <c r="C166" s="10" t="s">
        <v>8</v>
      </c>
      <c r="D166" s="10">
        <v>17761.0</v>
      </c>
      <c r="E166" s="12">
        <f t="shared" si="11"/>
        <v>166.32</v>
      </c>
      <c r="F166" s="12">
        <f t="shared" si="12"/>
        <v>31.68</v>
      </c>
      <c r="G166" s="14">
        <v>198.0</v>
      </c>
    </row>
    <row r="167" ht="15.75" customHeight="1">
      <c r="A167" s="9">
        <v>45311.0</v>
      </c>
      <c r="B167" s="10" t="s">
        <v>71</v>
      </c>
      <c r="C167" s="10" t="s">
        <v>72</v>
      </c>
      <c r="D167" s="10">
        <v>980429.0</v>
      </c>
      <c r="E167" s="12">
        <f t="shared" si="11"/>
        <v>630</v>
      </c>
      <c r="F167" s="12">
        <f t="shared" si="12"/>
        <v>120</v>
      </c>
      <c r="G167" s="14">
        <v>750.0</v>
      </c>
    </row>
    <row r="168" ht="15.75" customHeight="1">
      <c r="A168" s="9">
        <v>45311.0</v>
      </c>
      <c r="B168" s="10" t="s">
        <v>9</v>
      </c>
      <c r="C168" s="10" t="s">
        <v>8</v>
      </c>
      <c r="D168" s="10">
        <v>17769.0</v>
      </c>
      <c r="E168" s="12">
        <f t="shared" si="11"/>
        <v>41.16</v>
      </c>
      <c r="F168" s="12">
        <f t="shared" si="12"/>
        <v>7.84</v>
      </c>
      <c r="G168" s="14">
        <v>49.0</v>
      </c>
    </row>
    <row r="169" ht="15.75" customHeight="1">
      <c r="A169" s="9"/>
      <c r="B169" s="11"/>
      <c r="C169" s="11"/>
      <c r="D169" s="11"/>
      <c r="G169" s="12"/>
    </row>
    <row r="170" ht="15.75" customHeight="1">
      <c r="A170" s="9">
        <v>45313.0</v>
      </c>
      <c r="B170" s="10" t="s">
        <v>9</v>
      </c>
      <c r="C170" s="10" t="s">
        <v>8</v>
      </c>
      <c r="D170" s="10">
        <v>17825.0</v>
      </c>
      <c r="E170" s="12">
        <f t="shared" ref="E170:E206" si="13">G170-F170</f>
        <v>41.16</v>
      </c>
      <c r="F170" s="12">
        <f t="shared" ref="F170:F206" si="14">MULTIPLY(G170,0.16)</f>
        <v>7.84</v>
      </c>
      <c r="G170" s="14">
        <v>49.0</v>
      </c>
    </row>
    <row r="171" ht="15.75" customHeight="1">
      <c r="A171" s="9">
        <v>45313.0</v>
      </c>
      <c r="B171" s="10" t="s">
        <v>9</v>
      </c>
      <c r="C171" s="10" t="s">
        <v>8</v>
      </c>
      <c r="D171" s="10">
        <v>17814.0</v>
      </c>
      <c r="E171" s="12">
        <f t="shared" si="13"/>
        <v>24.36</v>
      </c>
      <c r="F171" s="12">
        <f t="shared" si="14"/>
        <v>4.64</v>
      </c>
      <c r="G171" s="14">
        <v>29.0</v>
      </c>
    </row>
    <row r="172" ht="15.75" customHeight="1">
      <c r="A172" s="9">
        <v>45313.0</v>
      </c>
      <c r="B172" s="10" t="s">
        <v>9</v>
      </c>
      <c r="C172" s="10" t="s">
        <v>8</v>
      </c>
      <c r="D172" s="10">
        <v>17797.0</v>
      </c>
      <c r="E172" s="12">
        <f t="shared" si="13"/>
        <v>106.68</v>
      </c>
      <c r="F172" s="12">
        <f t="shared" si="14"/>
        <v>20.32</v>
      </c>
      <c r="G172" s="14">
        <v>127.0</v>
      </c>
    </row>
    <row r="173" ht="15.75" customHeight="1">
      <c r="A173" s="9">
        <v>45313.0</v>
      </c>
      <c r="B173" s="10" t="s">
        <v>9</v>
      </c>
      <c r="C173" s="10" t="s">
        <v>8</v>
      </c>
      <c r="D173" s="10">
        <v>17798.0</v>
      </c>
      <c r="E173" s="12">
        <f t="shared" si="13"/>
        <v>92.4</v>
      </c>
      <c r="F173" s="12">
        <f t="shared" si="14"/>
        <v>17.6</v>
      </c>
      <c r="G173" s="14">
        <v>110.0</v>
      </c>
    </row>
    <row r="174" ht="15.75" customHeight="1">
      <c r="A174" s="9">
        <v>45313.0</v>
      </c>
      <c r="B174" s="10" t="s">
        <v>9</v>
      </c>
      <c r="C174" s="10" t="s">
        <v>8</v>
      </c>
      <c r="D174" s="10">
        <v>17800.0</v>
      </c>
      <c r="E174" s="12">
        <f t="shared" si="13"/>
        <v>166.32</v>
      </c>
      <c r="F174" s="12">
        <f t="shared" si="14"/>
        <v>31.68</v>
      </c>
      <c r="G174" s="14">
        <v>198.0</v>
      </c>
    </row>
    <row r="175" ht="15.75" customHeight="1">
      <c r="A175" s="9">
        <v>45313.0</v>
      </c>
      <c r="B175" s="10" t="s">
        <v>73</v>
      </c>
      <c r="C175" s="10" t="s">
        <v>74</v>
      </c>
      <c r="D175" s="10">
        <v>5080.0</v>
      </c>
      <c r="E175" s="12">
        <f t="shared" si="13"/>
        <v>2494.464</v>
      </c>
      <c r="F175" s="12">
        <f t="shared" si="14"/>
        <v>475.136</v>
      </c>
      <c r="G175" s="14">
        <v>2969.6</v>
      </c>
    </row>
    <row r="176" ht="15.75" customHeight="1">
      <c r="A176" s="9">
        <v>45314.0</v>
      </c>
      <c r="B176" s="10" t="s">
        <v>9</v>
      </c>
      <c r="C176" s="10" t="s">
        <v>8</v>
      </c>
      <c r="D176" s="10">
        <v>17845.0</v>
      </c>
      <c r="E176" s="12">
        <f t="shared" si="13"/>
        <v>326.76</v>
      </c>
      <c r="F176" s="12">
        <f t="shared" si="14"/>
        <v>62.24</v>
      </c>
      <c r="G176" s="14">
        <v>389.0</v>
      </c>
    </row>
    <row r="177" ht="15.75" customHeight="1">
      <c r="A177" s="9">
        <v>45314.0</v>
      </c>
      <c r="B177" s="10" t="s">
        <v>9</v>
      </c>
      <c r="C177" s="10" t="s">
        <v>8</v>
      </c>
      <c r="D177" s="10">
        <v>17909.0</v>
      </c>
      <c r="E177" s="12">
        <f t="shared" si="13"/>
        <v>166.32</v>
      </c>
      <c r="F177" s="12">
        <f t="shared" si="14"/>
        <v>31.68</v>
      </c>
      <c r="G177" s="14">
        <v>198.0</v>
      </c>
    </row>
    <row r="178" ht="15.75" customHeight="1">
      <c r="A178" s="9">
        <v>45314.0</v>
      </c>
      <c r="B178" s="10" t="s">
        <v>12</v>
      </c>
      <c r="C178" s="10" t="s">
        <v>8</v>
      </c>
      <c r="D178" s="10" t="s">
        <v>75</v>
      </c>
      <c r="E178" s="12">
        <f t="shared" si="13"/>
        <v>643.4148</v>
      </c>
      <c r="F178" s="12">
        <f t="shared" si="14"/>
        <v>122.5552</v>
      </c>
      <c r="G178" s="14">
        <v>765.97</v>
      </c>
    </row>
    <row r="179" ht="15.75" customHeight="1">
      <c r="A179" s="9">
        <v>45315.0</v>
      </c>
      <c r="B179" s="10" t="s">
        <v>9</v>
      </c>
      <c r="C179" s="10" t="s">
        <v>8</v>
      </c>
      <c r="D179" s="10">
        <v>17891.0</v>
      </c>
      <c r="E179" s="12">
        <f t="shared" si="13"/>
        <v>37.8</v>
      </c>
      <c r="F179" s="12">
        <f t="shared" si="14"/>
        <v>7.2</v>
      </c>
      <c r="G179" s="14">
        <v>45.0</v>
      </c>
    </row>
    <row r="180" ht="15.75" customHeight="1">
      <c r="A180" s="9">
        <v>45315.0</v>
      </c>
      <c r="B180" s="10" t="s">
        <v>9</v>
      </c>
      <c r="C180" s="10" t="s">
        <v>8</v>
      </c>
      <c r="D180" s="10">
        <v>17883.0</v>
      </c>
      <c r="E180" s="12">
        <f t="shared" si="13"/>
        <v>166.32</v>
      </c>
      <c r="F180" s="12">
        <f t="shared" si="14"/>
        <v>31.68</v>
      </c>
      <c r="G180" s="14">
        <v>198.0</v>
      </c>
    </row>
    <row r="181" ht="15.75" customHeight="1">
      <c r="A181" s="9">
        <v>45315.0</v>
      </c>
      <c r="B181" s="10" t="s">
        <v>24</v>
      </c>
      <c r="C181" s="10" t="s">
        <v>25</v>
      </c>
      <c r="D181" s="10" t="s">
        <v>76</v>
      </c>
      <c r="E181" s="12">
        <f t="shared" si="13"/>
        <v>176.19</v>
      </c>
      <c r="F181" s="12">
        <f t="shared" si="14"/>
        <v>33.56</v>
      </c>
      <c r="G181" s="14">
        <v>209.75</v>
      </c>
    </row>
    <row r="182" ht="15.75" customHeight="1">
      <c r="A182" s="9">
        <v>45315.0</v>
      </c>
      <c r="B182" s="10" t="s">
        <v>9</v>
      </c>
      <c r="C182" s="10" t="s">
        <v>8</v>
      </c>
      <c r="D182" s="10">
        <v>65554.0</v>
      </c>
      <c r="E182" s="12">
        <f t="shared" si="13"/>
        <v>76.44</v>
      </c>
      <c r="F182" s="12">
        <f t="shared" si="14"/>
        <v>14.56</v>
      </c>
      <c r="G182" s="14">
        <v>91.0</v>
      </c>
    </row>
    <row r="183" ht="15.75" customHeight="1">
      <c r="A183" s="9">
        <v>45315.0</v>
      </c>
      <c r="B183" s="10" t="s">
        <v>9</v>
      </c>
      <c r="C183" s="10" t="s">
        <v>8</v>
      </c>
      <c r="D183" s="10">
        <v>17873.0</v>
      </c>
      <c r="E183" s="12">
        <f t="shared" si="13"/>
        <v>196.56</v>
      </c>
      <c r="F183" s="12">
        <f t="shared" si="14"/>
        <v>37.44</v>
      </c>
      <c r="G183" s="14">
        <v>234.0</v>
      </c>
    </row>
    <row r="184" ht="15.75" customHeight="1">
      <c r="A184" s="9">
        <v>45315.0</v>
      </c>
      <c r="B184" s="10" t="s">
        <v>9</v>
      </c>
      <c r="C184" s="10" t="s">
        <v>8</v>
      </c>
      <c r="D184" s="10">
        <v>17912.0</v>
      </c>
      <c r="E184" s="12">
        <f t="shared" si="13"/>
        <v>762.72</v>
      </c>
      <c r="F184" s="12">
        <f t="shared" si="14"/>
        <v>145.28</v>
      </c>
      <c r="G184" s="14">
        <v>908.0</v>
      </c>
    </row>
    <row r="185" ht="15.75" customHeight="1">
      <c r="A185" s="9">
        <v>45315.0</v>
      </c>
      <c r="B185" s="10" t="s">
        <v>9</v>
      </c>
      <c r="C185" s="10" t="s">
        <v>8</v>
      </c>
      <c r="D185" s="10">
        <v>17913.0</v>
      </c>
      <c r="E185" s="12">
        <f t="shared" si="13"/>
        <v>47.04</v>
      </c>
      <c r="F185" s="12">
        <f t="shared" si="14"/>
        <v>8.96</v>
      </c>
      <c r="G185" s="14">
        <v>56.0</v>
      </c>
    </row>
    <row r="186" ht="15.75" customHeight="1">
      <c r="A186" s="9">
        <v>45315.0</v>
      </c>
      <c r="B186" s="16" t="s">
        <v>14</v>
      </c>
      <c r="C186" s="16" t="s">
        <v>15</v>
      </c>
      <c r="D186" s="10" t="s">
        <v>20</v>
      </c>
      <c r="E186" s="12">
        <f t="shared" si="13"/>
        <v>14.196</v>
      </c>
      <c r="F186" s="12">
        <f t="shared" si="14"/>
        <v>2.704</v>
      </c>
      <c r="G186" s="14">
        <v>16.9</v>
      </c>
    </row>
    <row r="187" ht="15.75" customHeight="1">
      <c r="A187" s="9">
        <v>45315.0</v>
      </c>
      <c r="B187" s="10" t="s">
        <v>9</v>
      </c>
      <c r="C187" s="10" t="s">
        <v>8</v>
      </c>
      <c r="D187" s="10">
        <v>17923.0</v>
      </c>
      <c r="E187" s="12">
        <f t="shared" si="13"/>
        <v>15.12</v>
      </c>
      <c r="F187" s="12">
        <f t="shared" si="14"/>
        <v>2.88</v>
      </c>
      <c r="G187" s="14">
        <v>18.0</v>
      </c>
    </row>
    <row r="188" ht="15.75" customHeight="1">
      <c r="A188" s="9">
        <v>45316.0</v>
      </c>
      <c r="B188" s="10" t="s">
        <v>9</v>
      </c>
      <c r="C188" s="10" t="s">
        <v>8</v>
      </c>
      <c r="D188" s="10">
        <v>17966.0</v>
      </c>
      <c r="E188" s="12">
        <f t="shared" si="13"/>
        <v>46.2</v>
      </c>
      <c r="F188" s="12">
        <f t="shared" si="14"/>
        <v>8.8</v>
      </c>
      <c r="G188" s="14">
        <v>55.0</v>
      </c>
    </row>
    <row r="189" ht="15.75" customHeight="1">
      <c r="A189" s="9">
        <v>45316.0</v>
      </c>
      <c r="B189" s="10" t="s">
        <v>77</v>
      </c>
      <c r="C189" s="10" t="s">
        <v>8</v>
      </c>
      <c r="D189" s="10">
        <v>9780.0</v>
      </c>
      <c r="E189" s="12">
        <f t="shared" si="13"/>
        <v>840</v>
      </c>
      <c r="F189" s="12">
        <f t="shared" si="14"/>
        <v>160</v>
      </c>
      <c r="G189" s="14">
        <v>1000.0</v>
      </c>
    </row>
    <row r="190" ht="15.75" customHeight="1">
      <c r="A190" s="9">
        <v>45316.0</v>
      </c>
      <c r="B190" s="10" t="s">
        <v>78</v>
      </c>
      <c r="C190" s="10" t="s">
        <v>79</v>
      </c>
      <c r="D190" s="10">
        <v>5.3067397609E10</v>
      </c>
      <c r="E190" s="12">
        <f t="shared" si="13"/>
        <v>301.812</v>
      </c>
      <c r="F190" s="12">
        <f t="shared" si="14"/>
        <v>57.488</v>
      </c>
      <c r="G190" s="14">
        <v>359.3</v>
      </c>
    </row>
    <row r="191" ht="15.75" customHeight="1">
      <c r="A191" s="9">
        <v>45316.0</v>
      </c>
      <c r="B191" s="10" t="s">
        <v>9</v>
      </c>
      <c r="C191" s="10" t="s">
        <v>8</v>
      </c>
      <c r="D191" s="10">
        <v>17927.0</v>
      </c>
      <c r="E191" s="12">
        <f t="shared" si="13"/>
        <v>46.2</v>
      </c>
      <c r="F191" s="12">
        <f t="shared" si="14"/>
        <v>8.8</v>
      </c>
      <c r="G191" s="14">
        <v>55.0</v>
      </c>
    </row>
    <row r="192" ht="15.75" customHeight="1">
      <c r="A192" s="9">
        <v>45316.0</v>
      </c>
      <c r="B192" s="10" t="s">
        <v>12</v>
      </c>
      <c r="C192" s="10" t="s">
        <v>8</v>
      </c>
      <c r="D192" s="10" t="s">
        <v>80</v>
      </c>
      <c r="E192" s="12">
        <f t="shared" si="13"/>
        <v>144.4716</v>
      </c>
      <c r="F192" s="12">
        <f t="shared" si="14"/>
        <v>27.5184</v>
      </c>
      <c r="G192" s="14">
        <v>171.99</v>
      </c>
    </row>
    <row r="193" ht="15.75" customHeight="1">
      <c r="A193" s="9">
        <v>45317.0</v>
      </c>
      <c r="B193" s="10" t="s">
        <v>9</v>
      </c>
      <c r="C193" s="10" t="s">
        <v>8</v>
      </c>
      <c r="D193" s="10">
        <v>18016.0</v>
      </c>
      <c r="E193" s="12">
        <f t="shared" si="13"/>
        <v>99.96</v>
      </c>
      <c r="F193" s="12">
        <f t="shared" si="14"/>
        <v>19.04</v>
      </c>
      <c r="G193" s="14">
        <v>119.0</v>
      </c>
    </row>
    <row r="194" ht="15.75" customHeight="1">
      <c r="A194" s="9">
        <v>45317.0</v>
      </c>
      <c r="B194" s="10" t="s">
        <v>24</v>
      </c>
      <c r="C194" s="10" t="s">
        <v>25</v>
      </c>
      <c r="D194" s="10" t="s">
        <v>81</v>
      </c>
      <c r="E194" s="12">
        <f t="shared" si="13"/>
        <v>254.0496</v>
      </c>
      <c r="F194" s="12">
        <f t="shared" si="14"/>
        <v>48.3904</v>
      </c>
      <c r="G194" s="14">
        <v>302.44</v>
      </c>
    </row>
    <row r="195" ht="15.75" customHeight="1">
      <c r="A195" s="9">
        <v>45317.0</v>
      </c>
      <c r="B195" s="10" t="s">
        <v>9</v>
      </c>
      <c r="C195" s="10" t="s">
        <v>8</v>
      </c>
      <c r="D195" s="10">
        <v>18002.0</v>
      </c>
      <c r="E195" s="12">
        <f t="shared" si="13"/>
        <v>160.44</v>
      </c>
      <c r="F195" s="12">
        <f t="shared" si="14"/>
        <v>30.56</v>
      </c>
      <c r="G195" s="14">
        <v>191.0</v>
      </c>
    </row>
    <row r="196" ht="15.75" customHeight="1">
      <c r="A196" s="9">
        <v>45317.0</v>
      </c>
      <c r="B196" s="10" t="s">
        <v>9</v>
      </c>
      <c r="C196" s="10" t="s">
        <v>8</v>
      </c>
      <c r="D196" s="10">
        <v>18009.0</v>
      </c>
      <c r="E196" s="12">
        <f t="shared" si="13"/>
        <v>115.92</v>
      </c>
      <c r="F196" s="12">
        <f t="shared" si="14"/>
        <v>22.08</v>
      </c>
      <c r="G196" s="14">
        <v>138.0</v>
      </c>
    </row>
    <row r="197" ht="15.75" customHeight="1">
      <c r="A197" s="9">
        <v>45317.0</v>
      </c>
      <c r="B197" s="10" t="s">
        <v>9</v>
      </c>
      <c r="C197" s="10" t="s">
        <v>8</v>
      </c>
      <c r="D197" s="10">
        <v>18012.0</v>
      </c>
      <c r="E197" s="12">
        <f t="shared" si="13"/>
        <v>74.76</v>
      </c>
      <c r="F197" s="12">
        <f t="shared" si="14"/>
        <v>14.24</v>
      </c>
      <c r="G197" s="14">
        <v>89.0</v>
      </c>
    </row>
    <row r="198" ht="15.75" customHeight="1">
      <c r="A198" s="9">
        <v>45317.0</v>
      </c>
      <c r="B198" s="10" t="s">
        <v>9</v>
      </c>
      <c r="C198" s="10" t="s">
        <v>8</v>
      </c>
      <c r="D198" s="10">
        <v>18014.0</v>
      </c>
      <c r="E198" s="12">
        <f t="shared" si="13"/>
        <v>65.52</v>
      </c>
      <c r="F198" s="12">
        <f t="shared" si="14"/>
        <v>12.48</v>
      </c>
      <c r="G198" s="14">
        <v>78.0</v>
      </c>
    </row>
    <row r="199" ht="15.75" customHeight="1">
      <c r="A199" s="9">
        <v>45317.0</v>
      </c>
      <c r="B199" s="10" t="s">
        <v>9</v>
      </c>
      <c r="C199" s="10" t="s">
        <v>8</v>
      </c>
      <c r="D199" s="10">
        <v>65867.0</v>
      </c>
      <c r="E199" s="12">
        <f t="shared" si="13"/>
        <v>45.36</v>
      </c>
      <c r="F199" s="12">
        <f t="shared" si="14"/>
        <v>8.64</v>
      </c>
      <c r="G199" s="14">
        <v>54.0</v>
      </c>
    </row>
    <row r="200" ht="15.75" customHeight="1">
      <c r="A200" s="9">
        <v>45317.0</v>
      </c>
      <c r="B200" s="10" t="s">
        <v>12</v>
      </c>
      <c r="C200" s="10" t="s">
        <v>8</v>
      </c>
      <c r="D200" s="10" t="s">
        <v>82</v>
      </c>
      <c r="E200" s="12">
        <f t="shared" si="13"/>
        <v>411.5832</v>
      </c>
      <c r="F200" s="12">
        <f t="shared" si="14"/>
        <v>78.3968</v>
      </c>
      <c r="G200" s="14">
        <v>489.98</v>
      </c>
    </row>
    <row r="201" ht="15.75" customHeight="1">
      <c r="A201" s="9">
        <v>45318.0</v>
      </c>
      <c r="B201" s="10" t="s">
        <v>9</v>
      </c>
      <c r="C201" s="10" t="s">
        <v>8</v>
      </c>
      <c r="D201" s="10">
        <v>18032.0</v>
      </c>
      <c r="E201" s="12">
        <f t="shared" si="13"/>
        <v>88.2</v>
      </c>
      <c r="F201" s="12">
        <f t="shared" si="14"/>
        <v>16.8</v>
      </c>
      <c r="G201" s="14">
        <v>105.0</v>
      </c>
    </row>
    <row r="202" ht="15.75" customHeight="1">
      <c r="A202" s="9">
        <v>45318.0</v>
      </c>
      <c r="B202" s="16" t="s">
        <v>14</v>
      </c>
      <c r="C202" s="16" t="s">
        <v>15</v>
      </c>
      <c r="D202" s="10" t="s">
        <v>20</v>
      </c>
      <c r="E202" s="12">
        <f t="shared" si="13"/>
        <v>15.456</v>
      </c>
      <c r="F202" s="12">
        <f t="shared" si="14"/>
        <v>2.944</v>
      </c>
      <c r="G202" s="14">
        <v>18.4</v>
      </c>
    </row>
    <row r="203" ht="15.75" customHeight="1">
      <c r="A203" s="9">
        <v>45318.0</v>
      </c>
      <c r="B203" s="10" t="s">
        <v>54</v>
      </c>
      <c r="C203" s="10" t="s">
        <v>83</v>
      </c>
      <c r="D203" s="10">
        <v>74055.0</v>
      </c>
      <c r="E203" s="12">
        <f t="shared" si="13"/>
        <v>121.0188</v>
      </c>
      <c r="F203" s="12">
        <f t="shared" si="14"/>
        <v>23.0512</v>
      </c>
      <c r="G203" s="14">
        <v>144.07</v>
      </c>
    </row>
    <row r="204" ht="15.75" customHeight="1">
      <c r="A204" s="9">
        <v>45321.0</v>
      </c>
      <c r="B204" s="10" t="s">
        <v>12</v>
      </c>
      <c r="C204" s="10" t="s">
        <v>8</v>
      </c>
      <c r="D204" s="10" t="s">
        <v>84</v>
      </c>
      <c r="E204" s="12">
        <f t="shared" si="13"/>
        <v>434.2884</v>
      </c>
      <c r="F204" s="12">
        <f t="shared" si="14"/>
        <v>82.7216</v>
      </c>
      <c r="G204" s="14">
        <v>517.01</v>
      </c>
    </row>
    <row r="205" ht="15.75" customHeight="1">
      <c r="A205" s="9">
        <v>45322.0</v>
      </c>
      <c r="B205" s="10" t="s">
        <v>12</v>
      </c>
      <c r="C205" s="10" t="s">
        <v>8</v>
      </c>
      <c r="D205" s="10" t="s">
        <v>85</v>
      </c>
      <c r="E205" s="12">
        <f t="shared" si="13"/>
        <v>256.2</v>
      </c>
      <c r="F205" s="12">
        <f t="shared" si="14"/>
        <v>48.8</v>
      </c>
      <c r="G205" s="14">
        <v>305.0</v>
      </c>
    </row>
    <row r="206" ht="15.75" customHeight="1">
      <c r="A206" s="9">
        <v>45322.0</v>
      </c>
      <c r="B206" s="10" t="s">
        <v>12</v>
      </c>
      <c r="C206" s="10" t="s">
        <v>8</v>
      </c>
      <c r="D206" s="10" t="s">
        <v>86</v>
      </c>
      <c r="E206" s="12">
        <f t="shared" si="13"/>
        <v>190.6716</v>
      </c>
      <c r="F206" s="12">
        <f t="shared" si="14"/>
        <v>36.3184</v>
      </c>
      <c r="G206" s="14">
        <v>226.99</v>
      </c>
    </row>
    <row r="207" ht="15.75" customHeight="1">
      <c r="A207" s="9"/>
      <c r="B207" s="16"/>
      <c r="C207" s="16"/>
      <c r="D207" s="11"/>
      <c r="G207" s="14"/>
    </row>
    <row r="208" ht="15.75" customHeight="1">
      <c r="A208" s="9">
        <v>45324.0</v>
      </c>
      <c r="B208" s="10" t="s">
        <v>87</v>
      </c>
      <c r="C208" s="10" t="s">
        <v>8</v>
      </c>
      <c r="D208" s="10" t="s">
        <v>88</v>
      </c>
      <c r="E208" s="12">
        <f t="shared" ref="E208:E213" si="15">G208-F208</f>
        <v>905.3184</v>
      </c>
      <c r="F208" s="12">
        <f t="shared" ref="F208:F213" si="16">MULTIPLY(G208,0.16)</f>
        <v>172.4416</v>
      </c>
      <c r="G208" s="14">
        <v>1077.76</v>
      </c>
    </row>
    <row r="209" ht="15.75" customHeight="1">
      <c r="A209" s="9">
        <v>45324.0</v>
      </c>
      <c r="B209" s="10" t="s">
        <v>9</v>
      </c>
      <c r="C209" s="10" t="s">
        <v>8</v>
      </c>
      <c r="D209" s="10">
        <v>18220.0</v>
      </c>
      <c r="E209" s="12">
        <f t="shared" si="15"/>
        <v>126.84</v>
      </c>
      <c r="F209" s="12">
        <f t="shared" si="16"/>
        <v>24.16</v>
      </c>
      <c r="G209" s="14">
        <v>151.0</v>
      </c>
    </row>
    <row r="210" ht="15.75" customHeight="1">
      <c r="A210" s="9">
        <v>45324.0</v>
      </c>
      <c r="B210" s="10" t="s">
        <v>9</v>
      </c>
      <c r="C210" s="10" t="s">
        <v>8</v>
      </c>
      <c r="D210" s="10">
        <v>18240.0</v>
      </c>
      <c r="E210" s="12">
        <f t="shared" si="15"/>
        <v>22.68</v>
      </c>
      <c r="F210" s="12">
        <f t="shared" si="16"/>
        <v>4.32</v>
      </c>
      <c r="G210" s="14">
        <v>27.0</v>
      </c>
    </row>
    <row r="211" ht="15.75" customHeight="1">
      <c r="A211" s="9">
        <v>45324.0</v>
      </c>
      <c r="B211" s="10" t="s">
        <v>9</v>
      </c>
      <c r="C211" s="10" t="s">
        <v>8</v>
      </c>
      <c r="D211" s="10">
        <v>18243.0</v>
      </c>
      <c r="E211" s="12">
        <f t="shared" si="15"/>
        <v>88.2</v>
      </c>
      <c r="F211" s="12">
        <f t="shared" si="16"/>
        <v>16.8</v>
      </c>
      <c r="G211" s="14">
        <v>105.0</v>
      </c>
    </row>
    <row r="212" ht="15.75" customHeight="1">
      <c r="A212" s="9">
        <v>45325.0</v>
      </c>
      <c r="B212" s="10" t="s">
        <v>9</v>
      </c>
      <c r="C212" s="10" t="s">
        <v>8</v>
      </c>
      <c r="D212" s="10">
        <v>18251.0</v>
      </c>
      <c r="E212" s="12">
        <f t="shared" si="15"/>
        <v>14.28</v>
      </c>
      <c r="F212" s="12">
        <f t="shared" si="16"/>
        <v>2.72</v>
      </c>
      <c r="G212" s="14">
        <v>17.0</v>
      </c>
    </row>
    <row r="213" ht="15.75" customHeight="1">
      <c r="A213" s="9">
        <v>45325.0</v>
      </c>
      <c r="B213" s="10" t="s">
        <v>9</v>
      </c>
      <c r="C213" s="10" t="s">
        <v>8</v>
      </c>
      <c r="D213" s="10">
        <v>18252.0</v>
      </c>
      <c r="E213" s="12">
        <f t="shared" si="15"/>
        <v>82.32</v>
      </c>
      <c r="F213" s="12">
        <f t="shared" si="16"/>
        <v>15.68</v>
      </c>
      <c r="G213" s="14">
        <v>98.0</v>
      </c>
    </row>
    <row r="214" ht="15.75" customHeight="1">
      <c r="A214" s="15"/>
      <c r="B214" s="10"/>
      <c r="C214" s="10"/>
      <c r="D214" s="11"/>
      <c r="G214" s="12"/>
    </row>
    <row r="215" ht="15.75" customHeight="1">
      <c r="A215" s="9">
        <v>45334.0</v>
      </c>
      <c r="B215" s="10" t="s">
        <v>89</v>
      </c>
      <c r="C215" s="10" t="s">
        <v>8</v>
      </c>
      <c r="D215" s="10">
        <v>819207.0</v>
      </c>
      <c r="E215" s="12">
        <f>G215-F215</f>
        <v>865.1832</v>
      </c>
      <c r="F215" s="12">
        <f>MULTIPLY(G215,0.16)</f>
        <v>164.7968</v>
      </c>
      <c r="G215" s="14">
        <v>1029.98</v>
      </c>
    </row>
    <row r="216" ht="15.75" customHeight="1">
      <c r="A216" s="15"/>
      <c r="B216" s="11"/>
      <c r="C216" s="11"/>
      <c r="D216" s="11"/>
      <c r="G216" s="12"/>
    </row>
    <row r="217" ht="15.75" customHeight="1">
      <c r="A217" s="9">
        <v>45386.0</v>
      </c>
      <c r="B217" s="10" t="s">
        <v>90</v>
      </c>
      <c r="C217" s="10" t="s">
        <v>8</v>
      </c>
      <c r="D217" s="10">
        <v>77083.0</v>
      </c>
      <c r="E217" s="12">
        <f t="shared" ref="E217:E218" si="17">G217-F217</f>
        <v>196.56</v>
      </c>
      <c r="F217" s="12">
        <f t="shared" ref="F217:F218" si="18">MULTIPLY(G217,0.16)</f>
        <v>37.44</v>
      </c>
      <c r="G217" s="14">
        <v>234.0</v>
      </c>
    </row>
    <row r="218" ht="15.75" customHeight="1">
      <c r="A218" s="9">
        <v>45387.0</v>
      </c>
      <c r="B218" s="10" t="s">
        <v>63</v>
      </c>
      <c r="C218" s="10" t="s">
        <v>8</v>
      </c>
      <c r="D218" s="10">
        <v>752237.0</v>
      </c>
      <c r="E218" s="12">
        <f t="shared" si="17"/>
        <v>4798.248</v>
      </c>
      <c r="F218" s="12">
        <f t="shared" si="18"/>
        <v>913.952</v>
      </c>
      <c r="G218" s="14">
        <v>5712.2</v>
      </c>
    </row>
    <row r="219" ht="15.75" customHeight="1">
      <c r="A219" s="18"/>
      <c r="B219" s="11"/>
      <c r="C219" s="11"/>
      <c r="D219" s="11"/>
      <c r="G219" s="12"/>
    </row>
    <row r="220" ht="15.75" customHeight="1">
      <c r="A220" s="9">
        <v>45392.0</v>
      </c>
      <c r="B220" s="10" t="s">
        <v>51</v>
      </c>
      <c r="C220" s="10" t="s">
        <v>8</v>
      </c>
      <c r="D220" s="10">
        <v>1306.0</v>
      </c>
      <c r="E220" s="12">
        <f t="shared" ref="E220:E222" si="19">G220-F220</f>
        <v>5770.1868</v>
      </c>
      <c r="F220" s="12">
        <f t="shared" ref="F220:F222" si="20">MULTIPLY(G220,0.16)</f>
        <v>1099.0832</v>
      </c>
      <c r="G220" s="14">
        <v>6869.27</v>
      </c>
    </row>
    <row r="221" ht="15.75" customHeight="1">
      <c r="A221" s="9">
        <v>45393.0</v>
      </c>
      <c r="B221" s="10" t="s">
        <v>9</v>
      </c>
      <c r="C221" s="10" t="s">
        <v>8</v>
      </c>
      <c r="D221" s="10">
        <v>20476.0</v>
      </c>
      <c r="E221" s="12">
        <f t="shared" si="19"/>
        <v>50.4</v>
      </c>
      <c r="F221" s="12">
        <f t="shared" si="20"/>
        <v>9.6</v>
      </c>
      <c r="G221" s="14">
        <v>60.0</v>
      </c>
    </row>
    <row r="222" ht="15.75" customHeight="1">
      <c r="A222" s="9">
        <v>45394.0</v>
      </c>
      <c r="B222" s="10" t="s">
        <v>91</v>
      </c>
      <c r="C222" s="10" t="s">
        <v>48</v>
      </c>
      <c r="D222" s="10">
        <v>639197.0</v>
      </c>
      <c r="E222" s="12">
        <f t="shared" si="19"/>
        <v>1268.904</v>
      </c>
      <c r="F222" s="12">
        <f t="shared" si="20"/>
        <v>241.696</v>
      </c>
      <c r="G222" s="14">
        <v>1510.6</v>
      </c>
    </row>
    <row r="223" ht="15.75" customHeight="1">
      <c r="A223" s="15"/>
      <c r="B223" s="11"/>
      <c r="C223" s="11"/>
      <c r="D223" s="11"/>
      <c r="G223" s="12"/>
    </row>
    <row r="224" ht="15.75" customHeight="1">
      <c r="A224" s="9">
        <v>45399.0</v>
      </c>
      <c r="B224" s="10" t="s">
        <v>9</v>
      </c>
      <c r="C224" s="10" t="s">
        <v>8</v>
      </c>
      <c r="D224" s="10">
        <v>84100.0</v>
      </c>
      <c r="E224" s="12">
        <f>G224-F224</f>
        <v>74.76</v>
      </c>
      <c r="F224" s="12">
        <f>MULTIPLY(G224,0.16)</f>
        <v>14.24</v>
      </c>
      <c r="G224" s="14">
        <v>89.0</v>
      </c>
    </row>
    <row r="225" ht="15.75" customHeight="1">
      <c r="A225" s="15"/>
      <c r="B225" s="11"/>
      <c r="C225" s="11"/>
      <c r="D225" s="11"/>
      <c r="G225" s="12"/>
    </row>
    <row r="226" ht="15.75" customHeight="1">
      <c r="A226" s="9">
        <v>45404.0</v>
      </c>
      <c r="B226" s="10" t="s">
        <v>36</v>
      </c>
      <c r="C226" s="10" t="s">
        <v>25</v>
      </c>
      <c r="D226" s="10">
        <v>8285.0</v>
      </c>
      <c r="E226" s="12">
        <f t="shared" ref="E226:E232" si="21">G226-F226</f>
        <v>28.0644</v>
      </c>
      <c r="F226" s="12">
        <f t="shared" ref="F226:F232" si="22">MULTIPLY(G226,0.16)</f>
        <v>5.3456</v>
      </c>
      <c r="G226" s="14">
        <v>33.41</v>
      </c>
    </row>
    <row r="227" ht="15.75" customHeight="1">
      <c r="A227" s="9">
        <v>45405.0</v>
      </c>
      <c r="B227" s="10" t="s">
        <v>92</v>
      </c>
      <c r="C227" s="10" t="s">
        <v>8</v>
      </c>
      <c r="D227" s="10">
        <v>7.00474018E8</v>
      </c>
      <c r="E227" s="12">
        <f t="shared" si="21"/>
        <v>428.4</v>
      </c>
      <c r="F227" s="12">
        <f t="shared" si="22"/>
        <v>81.6</v>
      </c>
      <c r="G227" s="14">
        <v>510.0</v>
      </c>
    </row>
    <row r="228" ht="15.75" customHeight="1">
      <c r="A228" s="9">
        <v>45406.0</v>
      </c>
      <c r="B228" s="10" t="s">
        <v>24</v>
      </c>
      <c r="C228" s="10" t="s">
        <v>25</v>
      </c>
      <c r="D228" s="10" t="s">
        <v>93</v>
      </c>
      <c r="E228" s="12">
        <f t="shared" si="21"/>
        <v>94.1892</v>
      </c>
      <c r="F228" s="12">
        <f t="shared" si="22"/>
        <v>17.9408</v>
      </c>
      <c r="G228" s="14">
        <v>112.13</v>
      </c>
    </row>
    <row r="229" ht="15.75" customHeight="1">
      <c r="A229" s="9">
        <v>45407.0</v>
      </c>
      <c r="B229" s="10" t="s">
        <v>94</v>
      </c>
      <c r="C229" s="10" t="s">
        <v>25</v>
      </c>
      <c r="D229" s="10">
        <v>2485638.0</v>
      </c>
      <c r="E229" s="12">
        <f t="shared" si="21"/>
        <v>1227.7692</v>
      </c>
      <c r="F229" s="12">
        <f t="shared" si="22"/>
        <v>233.8608</v>
      </c>
      <c r="G229" s="14">
        <v>1461.63</v>
      </c>
    </row>
    <row r="230" ht="15.75" customHeight="1">
      <c r="A230" s="9">
        <v>45412.0</v>
      </c>
      <c r="B230" s="10" t="s">
        <v>95</v>
      </c>
      <c r="C230" s="10" t="s">
        <v>8</v>
      </c>
      <c r="D230" s="10">
        <v>5553.0</v>
      </c>
      <c r="E230" s="12">
        <f t="shared" si="21"/>
        <v>189.3108</v>
      </c>
      <c r="F230" s="12">
        <f t="shared" si="22"/>
        <v>36.0592</v>
      </c>
      <c r="G230" s="14">
        <v>225.37</v>
      </c>
    </row>
    <row r="231" ht="15.75" customHeight="1">
      <c r="A231" s="9">
        <v>45413.0</v>
      </c>
      <c r="B231" s="10" t="s">
        <v>96</v>
      </c>
      <c r="C231" s="10" t="s">
        <v>8</v>
      </c>
      <c r="D231" s="10">
        <v>123476.0</v>
      </c>
      <c r="E231" s="12">
        <f t="shared" si="21"/>
        <v>215.46</v>
      </c>
      <c r="F231" s="12">
        <f t="shared" si="22"/>
        <v>41.04</v>
      </c>
      <c r="G231" s="14">
        <v>256.5</v>
      </c>
    </row>
    <row r="232" ht="15.75" customHeight="1">
      <c r="A232" s="9">
        <v>45415.0</v>
      </c>
      <c r="B232" s="10" t="s">
        <v>9</v>
      </c>
      <c r="C232" s="10" t="s">
        <v>8</v>
      </c>
      <c r="D232" s="10">
        <v>21087.0</v>
      </c>
      <c r="E232" s="12">
        <f t="shared" si="21"/>
        <v>177.24</v>
      </c>
      <c r="F232" s="12">
        <f t="shared" si="22"/>
        <v>33.76</v>
      </c>
      <c r="G232" s="14">
        <v>211.0</v>
      </c>
    </row>
    <row r="233" ht="15.75" customHeight="1">
      <c r="A233" s="15"/>
      <c r="B233" s="11"/>
      <c r="C233" s="11"/>
      <c r="D233" s="11"/>
      <c r="G233" s="12"/>
    </row>
    <row r="234" ht="15.75" customHeight="1">
      <c r="A234" s="9">
        <v>45418.0</v>
      </c>
      <c r="B234" s="10" t="s">
        <v>95</v>
      </c>
      <c r="C234" s="10" t="s">
        <v>8</v>
      </c>
      <c r="D234" s="10">
        <v>5646.0</v>
      </c>
      <c r="E234" s="12">
        <f t="shared" ref="E234:E254" si="23">G234-F234</f>
        <v>2681.238</v>
      </c>
      <c r="F234" s="12">
        <f t="shared" ref="F234:F254" si="24">MULTIPLY(G234,0.16)</f>
        <v>510.712</v>
      </c>
      <c r="G234" s="14">
        <v>3191.95</v>
      </c>
    </row>
    <row r="235" ht="15.75" customHeight="1">
      <c r="A235" s="9">
        <v>45418.0</v>
      </c>
      <c r="B235" s="10" t="s">
        <v>97</v>
      </c>
      <c r="C235" s="10" t="s">
        <v>8</v>
      </c>
      <c r="D235" s="10" t="s">
        <v>98</v>
      </c>
      <c r="E235" s="12">
        <f t="shared" si="23"/>
        <v>595.6944</v>
      </c>
      <c r="F235" s="12">
        <f t="shared" si="24"/>
        <v>113.4656</v>
      </c>
      <c r="G235" s="14">
        <v>709.16</v>
      </c>
    </row>
    <row r="236" ht="15.75" customHeight="1">
      <c r="A236" s="9">
        <v>45418.0</v>
      </c>
      <c r="B236" s="10" t="s">
        <v>9</v>
      </c>
      <c r="C236" s="10" t="s">
        <v>8</v>
      </c>
      <c r="D236" s="10">
        <v>21140.0</v>
      </c>
      <c r="E236" s="12">
        <f t="shared" si="23"/>
        <v>44.52</v>
      </c>
      <c r="F236" s="12">
        <f t="shared" si="24"/>
        <v>8.48</v>
      </c>
      <c r="G236" s="14">
        <v>53.0</v>
      </c>
    </row>
    <row r="237" ht="15.75" customHeight="1">
      <c r="A237" s="9">
        <v>45420.0</v>
      </c>
      <c r="B237" s="10" t="s">
        <v>24</v>
      </c>
      <c r="C237" s="10" t="s">
        <v>25</v>
      </c>
      <c r="D237" s="10" t="s">
        <v>99</v>
      </c>
      <c r="E237" s="12">
        <f t="shared" si="23"/>
        <v>41.8992</v>
      </c>
      <c r="F237" s="12">
        <f t="shared" si="24"/>
        <v>7.9808</v>
      </c>
      <c r="G237" s="14">
        <v>49.88</v>
      </c>
    </row>
    <row r="238" ht="15.75" customHeight="1">
      <c r="A238" s="9">
        <v>45420.0</v>
      </c>
      <c r="B238" s="10" t="s">
        <v>9</v>
      </c>
      <c r="C238" s="10" t="s">
        <v>8</v>
      </c>
      <c r="D238" s="10">
        <v>21230.0</v>
      </c>
      <c r="E238" s="12">
        <f t="shared" si="23"/>
        <v>43.68</v>
      </c>
      <c r="F238" s="12">
        <f t="shared" si="24"/>
        <v>8.32</v>
      </c>
      <c r="G238" s="14">
        <v>52.0</v>
      </c>
    </row>
    <row r="239" ht="15.75" customHeight="1">
      <c r="A239" s="9">
        <v>45421.0</v>
      </c>
      <c r="B239" s="10" t="s">
        <v>12</v>
      </c>
      <c r="C239" s="10" t="s">
        <v>8</v>
      </c>
      <c r="D239" s="10" t="s">
        <v>100</v>
      </c>
      <c r="E239" s="12">
        <f t="shared" si="23"/>
        <v>2142</v>
      </c>
      <c r="F239" s="12">
        <f t="shared" si="24"/>
        <v>408</v>
      </c>
      <c r="G239" s="14">
        <v>2550.0</v>
      </c>
    </row>
    <row r="240" ht="15.75" customHeight="1">
      <c r="A240" s="9">
        <v>45421.0</v>
      </c>
      <c r="B240" s="10" t="s">
        <v>12</v>
      </c>
      <c r="C240" s="10" t="s">
        <v>8</v>
      </c>
      <c r="D240" s="10" t="s">
        <v>101</v>
      </c>
      <c r="E240" s="12">
        <f t="shared" si="23"/>
        <v>189.0084</v>
      </c>
      <c r="F240" s="12">
        <f t="shared" si="24"/>
        <v>36.0016</v>
      </c>
      <c r="G240" s="14">
        <v>225.01</v>
      </c>
    </row>
    <row r="241" ht="15.75" customHeight="1">
      <c r="A241" s="9">
        <v>45421.0</v>
      </c>
      <c r="B241" s="10" t="s">
        <v>12</v>
      </c>
      <c r="C241" s="10" t="s">
        <v>8</v>
      </c>
      <c r="D241" s="10" t="s">
        <v>102</v>
      </c>
      <c r="E241" s="12">
        <f t="shared" si="23"/>
        <v>10.92</v>
      </c>
      <c r="F241" s="12">
        <f t="shared" si="24"/>
        <v>2.08</v>
      </c>
      <c r="G241" s="14">
        <v>13.0</v>
      </c>
    </row>
    <row r="242" ht="15.75" customHeight="1">
      <c r="A242" s="9">
        <v>45421.0</v>
      </c>
      <c r="B242" s="10" t="s">
        <v>12</v>
      </c>
      <c r="C242" s="10" t="s">
        <v>8</v>
      </c>
      <c r="D242" s="10" t="s">
        <v>103</v>
      </c>
      <c r="E242" s="12">
        <f t="shared" si="23"/>
        <v>696.3264</v>
      </c>
      <c r="F242" s="12">
        <f t="shared" si="24"/>
        <v>132.6336</v>
      </c>
      <c r="G242" s="14">
        <v>828.96</v>
      </c>
    </row>
    <row r="243" ht="15.75" customHeight="1">
      <c r="A243" s="9">
        <v>45422.0</v>
      </c>
      <c r="B243" s="10" t="s">
        <v>63</v>
      </c>
      <c r="C243" s="10" t="s">
        <v>8</v>
      </c>
      <c r="D243" s="10">
        <v>755409.0</v>
      </c>
      <c r="E243" s="12">
        <f t="shared" si="23"/>
        <v>55.0704</v>
      </c>
      <c r="F243" s="12">
        <f t="shared" si="24"/>
        <v>10.4896</v>
      </c>
      <c r="G243" s="14">
        <v>65.56</v>
      </c>
    </row>
    <row r="244" ht="15.75" customHeight="1">
      <c r="A244" s="9">
        <v>45422.0</v>
      </c>
      <c r="B244" s="10" t="s">
        <v>63</v>
      </c>
      <c r="C244" s="10" t="s">
        <v>8</v>
      </c>
      <c r="D244" s="10">
        <v>755376.0</v>
      </c>
      <c r="E244" s="12">
        <f t="shared" si="23"/>
        <v>3007.0236</v>
      </c>
      <c r="F244" s="12">
        <f t="shared" si="24"/>
        <v>572.7664</v>
      </c>
      <c r="G244" s="14">
        <v>3579.79</v>
      </c>
    </row>
    <row r="245" ht="15.75" customHeight="1">
      <c r="A245" s="9">
        <v>45422.0</v>
      </c>
      <c r="B245" s="10" t="s">
        <v>63</v>
      </c>
      <c r="C245" s="10" t="s">
        <v>8</v>
      </c>
      <c r="D245" s="10">
        <v>755380.0</v>
      </c>
      <c r="E245" s="12">
        <f t="shared" si="23"/>
        <v>218.9208</v>
      </c>
      <c r="F245" s="12">
        <f t="shared" si="24"/>
        <v>41.6992</v>
      </c>
      <c r="G245" s="14">
        <v>260.62</v>
      </c>
    </row>
    <row r="246" ht="15.75" customHeight="1">
      <c r="A246" s="9">
        <v>45425.0</v>
      </c>
      <c r="B246" s="10" t="s">
        <v>9</v>
      </c>
      <c r="C246" s="10" t="s">
        <v>8</v>
      </c>
      <c r="D246" s="10">
        <v>21373.0</v>
      </c>
      <c r="E246" s="12">
        <f t="shared" si="23"/>
        <v>35.28</v>
      </c>
      <c r="F246" s="12">
        <f t="shared" si="24"/>
        <v>6.72</v>
      </c>
      <c r="G246" s="14">
        <v>42.0</v>
      </c>
    </row>
    <row r="247" ht="15.75" customHeight="1">
      <c r="A247" s="9">
        <v>45427.0</v>
      </c>
      <c r="B247" s="10" t="s">
        <v>12</v>
      </c>
      <c r="C247" s="10" t="s">
        <v>8</v>
      </c>
      <c r="D247" s="10" t="s">
        <v>104</v>
      </c>
      <c r="E247" s="12">
        <f t="shared" si="23"/>
        <v>132.7284</v>
      </c>
      <c r="F247" s="12">
        <f t="shared" si="24"/>
        <v>25.2816</v>
      </c>
      <c r="G247" s="14">
        <v>158.01</v>
      </c>
    </row>
    <row r="248" ht="15.75" customHeight="1">
      <c r="A248" s="9">
        <v>45427.0</v>
      </c>
      <c r="B248" s="10" t="s">
        <v>12</v>
      </c>
      <c r="C248" s="10" t="s">
        <v>8</v>
      </c>
      <c r="D248" s="10" t="s">
        <v>105</v>
      </c>
      <c r="E248" s="12">
        <f t="shared" si="23"/>
        <v>192.36</v>
      </c>
      <c r="F248" s="12">
        <f t="shared" si="24"/>
        <v>36.64</v>
      </c>
      <c r="G248" s="14">
        <v>229.0</v>
      </c>
    </row>
    <row r="249" ht="15.75" customHeight="1">
      <c r="A249" s="9">
        <v>45428.0</v>
      </c>
      <c r="B249" s="10" t="s">
        <v>12</v>
      </c>
      <c r="C249" s="10" t="s">
        <v>8</v>
      </c>
      <c r="D249" s="10" t="s">
        <v>106</v>
      </c>
      <c r="E249" s="12">
        <f t="shared" si="23"/>
        <v>241.9032</v>
      </c>
      <c r="F249" s="12">
        <f t="shared" si="24"/>
        <v>46.0768</v>
      </c>
      <c r="G249" s="14">
        <v>287.98</v>
      </c>
    </row>
    <row r="250" ht="15.75" customHeight="1">
      <c r="A250" s="9">
        <v>45428.0</v>
      </c>
      <c r="B250" s="10" t="s">
        <v>12</v>
      </c>
      <c r="C250" s="10" t="s">
        <v>8</v>
      </c>
      <c r="D250" s="10" t="s">
        <v>107</v>
      </c>
      <c r="E250" s="12">
        <f t="shared" si="23"/>
        <v>13.44</v>
      </c>
      <c r="F250" s="12">
        <f t="shared" si="24"/>
        <v>2.56</v>
      </c>
      <c r="G250" s="14">
        <v>16.0</v>
      </c>
    </row>
    <row r="251" ht="15.75" customHeight="1">
      <c r="A251" s="9">
        <v>45428.0</v>
      </c>
      <c r="B251" s="10" t="s">
        <v>9</v>
      </c>
      <c r="C251" s="10" t="s">
        <v>8</v>
      </c>
      <c r="D251" s="10">
        <v>21482.0</v>
      </c>
      <c r="E251" s="12">
        <f t="shared" si="23"/>
        <v>304.8444</v>
      </c>
      <c r="F251" s="12">
        <f t="shared" si="24"/>
        <v>58.0656</v>
      </c>
      <c r="G251" s="14">
        <v>362.91</v>
      </c>
    </row>
    <row r="252" ht="15.75" customHeight="1">
      <c r="A252" s="9">
        <v>45428.0</v>
      </c>
      <c r="B252" s="10" t="s">
        <v>24</v>
      </c>
      <c r="C252" s="10" t="s">
        <v>25</v>
      </c>
      <c r="D252" s="10" t="s">
        <v>108</v>
      </c>
      <c r="E252" s="12">
        <f t="shared" si="23"/>
        <v>379.092</v>
      </c>
      <c r="F252" s="12">
        <f t="shared" si="24"/>
        <v>72.208</v>
      </c>
      <c r="G252" s="14">
        <v>451.3</v>
      </c>
    </row>
    <row r="253" ht="15.75" customHeight="1">
      <c r="A253" s="9">
        <v>45428.0</v>
      </c>
      <c r="B253" s="10" t="s">
        <v>24</v>
      </c>
      <c r="C253" s="10" t="s">
        <v>25</v>
      </c>
      <c r="D253" s="10" t="s">
        <v>109</v>
      </c>
      <c r="E253" s="12">
        <f t="shared" si="23"/>
        <v>354.1776</v>
      </c>
      <c r="F253" s="12">
        <f t="shared" si="24"/>
        <v>67.4624</v>
      </c>
      <c r="G253" s="14">
        <v>421.64</v>
      </c>
    </row>
    <row r="254" ht="15.75" customHeight="1">
      <c r="A254" s="9">
        <v>45430.0</v>
      </c>
      <c r="B254" s="10" t="s">
        <v>110</v>
      </c>
      <c r="C254" s="10" t="s">
        <v>111</v>
      </c>
      <c r="D254" s="10">
        <v>238115.0</v>
      </c>
      <c r="E254" s="12">
        <f t="shared" si="23"/>
        <v>560.28</v>
      </c>
      <c r="F254" s="12">
        <f t="shared" si="24"/>
        <v>106.72</v>
      </c>
      <c r="G254" s="14">
        <v>667.0</v>
      </c>
    </row>
    <row r="255" ht="15.75" customHeight="1">
      <c r="A255" s="15"/>
      <c r="B255" s="11"/>
      <c r="C255" s="11"/>
      <c r="D255" s="11"/>
      <c r="G255" s="12"/>
    </row>
    <row r="256" ht="15.75" customHeight="1">
      <c r="A256" s="9">
        <v>45433.0</v>
      </c>
      <c r="B256" s="10" t="s">
        <v>12</v>
      </c>
      <c r="C256" s="10" t="s">
        <v>8</v>
      </c>
      <c r="D256" s="10" t="s">
        <v>112</v>
      </c>
      <c r="E256" s="12">
        <f t="shared" ref="E256:E264" si="25">G256-F256</f>
        <v>251.16</v>
      </c>
      <c r="F256" s="12">
        <f t="shared" ref="F256:F264" si="26">MULTIPLY(G256,0.16)</f>
        <v>47.84</v>
      </c>
      <c r="G256" s="14">
        <v>299.0</v>
      </c>
    </row>
    <row r="257" ht="15.75" customHeight="1">
      <c r="A257" s="9">
        <v>45433.0</v>
      </c>
      <c r="B257" s="10" t="s">
        <v>12</v>
      </c>
      <c r="C257" s="10" t="s">
        <v>8</v>
      </c>
      <c r="D257" s="10" t="s">
        <v>113</v>
      </c>
      <c r="E257" s="12">
        <f t="shared" si="25"/>
        <v>54.5916</v>
      </c>
      <c r="F257" s="12">
        <f t="shared" si="26"/>
        <v>10.3984</v>
      </c>
      <c r="G257" s="14">
        <v>64.99</v>
      </c>
    </row>
    <row r="258" ht="15.75" customHeight="1">
      <c r="A258" s="9">
        <v>45433.0</v>
      </c>
      <c r="B258" s="10" t="s">
        <v>9</v>
      </c>
      <c r="C258" s="10" t="s">
        <v>8</v>
      </c>
      <c r="D258" s="10">
        <v>108626.0</v>
      </c>
      <c r="E258" s="12">
        <f t="shared" si="25"/>
        <v>6.72</v>
      </c>
      <c r="F258" s="12">
        <f t="shared" si="26"/>
        <v>1.28</v>
      </c>
      <c r="G258" s="13">
        <v>8.0</v>
      </c>
    </row>
    <row r="259" ht="15.75" customHeight="1">
      <c r="A259" s="9">
        <v>45434.0</v>
      </c>
      <c r="B259" s="10" t="s">
        <v>12</v>
      </c>
      <c r="C259" s="10" t="s">
        <v>8</v>
      </c>
      <c r="D259" s="10" t="s">
        <v>114</v>
      </c>
      <c r="E259" s="12">
        <f t="shared" si="25"/>
        <v>40.32</v>
      </c>
      <c r="F259" s="12">
        <f t="shared" si="26"/>
        <v>7.68</v>
      </c>
      <c r="G259" s="14">
        <v>48.0</v>
      </c>
    </row>
    <row r="260" ht="15.75" customHeight="1">
      <c r="A260" s="9">
        <v>45434.0</v>
      </c>
      <c r="B260" s="10" t="s">
        <v>9</v>
      </c>
      <c r="C260" s="10" t="s">
        <v>8</v>
      </c>
      <c r="D260" s="10">
        <v>21708.0</v>
      </c>
      <c r="E260" s="12">
        <f t="shared" si="25"/>
        <v>36.96</v>
      </c>
      <c r="F260" s="12">
        <f t="shared" si="26"/>
        <v>7.04</v>
      </c>
      <c r="G260" s="14">
        <v>44.0</v>
      </c>
    </row>
    <row r="261" ht="15.75" customHeight="1">
      <c r="A261" s="9">
        <v>45435.0</v>
      </c>
      <c r="B261" s="10" t="s">
        <v>115</v>
      </c>
      <c r="C261" s="10" t="s">
        <v>25</v>
      </c>
      <c r="D261" s="10">
        <v>7.1009811E7</v>
      </c>
      <c r="E261" s="12">
        <f t="shared" si="25"/>
        <v>79.926</v>
      </c>
      <c r="F261" s="12">
        <f t="shared" si="26"/>
        <v>15.224</v>
      </c>
      <c r="G261" s="14">
        <v>95.15</v>
      </c>
    </row>
    <row r="262" ht="15.75" customHeight="1">
      <c r="A262" s="9">
        <v>45436.0</v>
      </c>
      <c r="B262" s="10" t="s">
        <v>12</v>
      </c>
      <c r="C262" s="10" t="s">
        <v>8</v>
      </c>
      <c r="D262" s="10" t="s">
        <v>116</v>
      </c>
      <c r="E262" s="12">
        <f t="shared" si="25"/>
        <v>115.08</v>
      </c>
      <c r="F262" s="12">
        <f t="shared" si="26"/>
        <v>21.92</v>
      </c>
      <c r="G262" s="14">
        <v>137.0</v>
      </c>
    </row>
    <row r="263" ht="15.75" customHeight="1">
      <c r="A263" s="19">
        <v>45436.0</v>
      </c>
      <c r="B263" s="16" t="s">
        <v>9</v>
      </c>
      <c r="C263" s="16" t="s">
        <v>8</v>
      </c>
      <c r="D263" s="16">
        <v>230776.0</v>
      </c>
      <c r="E263" s="20">
        <f t="shared" si="25"/>
        <v>125.16</v>
      </c>
      <c r="F263" s="20">
        <f t="shared" si="26"/>
        <v>23.84</v>
      </c>
      <c r="G263" s="20">
        <v>149.0</v>
      </c>
    </row>
    <row r="264" ht="15.75" customHeight="1">
      <c r="A264" s="9">
        <v>45437.0</v>
      </c>
      <c r="B264" s="10" t="s">
        <v>12</v>
      </c>
      <c r="C264" s="10" t="s">
        <v>8</v>
      </c>
      <c r="D264" s="10" t="s">
        <v>117</v>
      </c>
      <c r="E264" s="12">
        <f t="shared" si="25"/>
        <v>115.4916</v>
      </c>
      <c r="F264" s="12">
        <f t="shared" si="26"/>
        <v>21.9984</v>
      </c>
      <c r="G264" s="14">
        <v>137.49</v>
      </c>
    </row>
    <row r="265" ht="15.75" customHeight="1">
      <c r="A265" s="18"/>
      <c r="G265" s="14"/>
    </row>
    <row r="266" ht="15.75" customHeight="1">
      <c r="A266" s="9">
        <v>45440.0</v>
      </c>
      <c r="B266" s="16" t="s">
        <v>9</v>
      </c>
      <c r="C266" s="16" t="s">
        <v>8</v>
      </c>
      <c r="D266" s="10">
        <v>42644.0</v>
      </c>
      <c r="E266" s="12">
        <f t="shared" ref="E266:E269" si="27">G266-F266</f>
        <v>62.16</v>
      </c>
      <c r="F266" s="12">
        <f t="shared" ref="F266:F269" si="28">MULTIPLY(G266,0.16)</f>
        <v>11.84</v>
      </c>
      <c r="G266" s="14">
        <v>74.0</v>
      </c>
    </row>
    <row r="267" ht="15.75" customHeight="1">
      <c r="A267" s="9">
        <v>45440.0</v>
      </c>
      <c r="B267" s="10" t="s">
        <v>118</v>
      </c>
      <c r="C267" s="10" t="s">
        <v>31</v>
      </c>
      <c r="D267" s="10">
        <v>78260.0</v>
      </c>
      <c r="E267" s="12">
        <f t="shared" si="27"/>
        <v>92.4</v>
      </c>
      <c r="F267" s="12">
        <f t="shared" si="28"/>
        <v>17.6</v>
      </c>
      <c r="G267" s="14">
        <v>110.0</v>
      </c>
    </row>
    <row r="268" ht="15.75" customHeight="1">
      <c r="A268" s="9">
        <v>45442.0</v>
      </c>
      <c r="B268" s="16" t="s">
        <v>9</v>
      </c>
      <c r="C268" s="16" t="s">
        <v>8</v>
      </c>
      <c r="D268" s="10">
        <v>245598.0</v>
      </c>
      <c r="E268" s="12">
        <f t="shared" si="27"/>
        <v>287.28</v>
      </c>
      <c r="F268" s="12">
        <f t="shared" si="28"/>
        <v>54.72</v>
      </c>
      <c r="G268" s="14">
        <v>342.0</v>
      </c>
    </row>
    <row r="269" ht="15.75" customHeight="1">
      <c r="A269" s="9">
        <v>45442.0</v>
      </c>
      <c r="B269" s="10" t="s">
        <v>12</v>
      </c>
      <c r="C269" s="10" t="s">
        <v>8</v>
      </c>
      <c r="D269" s="10" t="s">
        <v>119</v>
      </c>
      <c r="E269" s="12">
        <f t="shared" si="27"/>
        <v>141.9516</v>
      </c>
      <c r="F269" s="12">
        <f t="shared" si="28"/>
        <v>27.0384</v>
      </c>
      <c r="G269" s="14">
        <v>168.99</v>
      </c>
    </row>
    <row r="270" ht="15.75" customHeight="1">
      <c r="A270" s="15"/>
      <c r="B270" s="11"/>
      <c r="C270" s="11"/>
      <c r="D270" s="11"/>
      <c r="G270" s="12"/>
    </row>
    <row r="271" ht="15.75" customHeight="1">
      <c r="A271" s="9">
        <v>45448.0</v>
      </c>
      <c r="B271" s="10" t="s">
        <v>12</v>
      </c>
      <c r="C271" s="10" t="s">
        <v>8</v>
      </c>
      <c r="D271" s="10" t="s">
        <v>120</v>
      </c>
      <c r="E271" s="12">
        <f t="shared" ref="E271:E277" si="29">G271-F271</f>
        <v>58.8</v>
      </c>
      <c r="F271" s="12">
        <f t="shared" ref="F271:F277" si="30">MULTIPLY(G271,0.16)</f>
        <v>11.2</v>
      </c>
      <c r="G271" s="14">
        <v>70.0</v>
      </c>
    </row>
    <row r="272" ht="15.75" customHeight="1">
      <c r="A272" s="9">
        <v>45448.0</v>
      </c>
      <c r="B272" s="10" t="s">
        <v>36</v>
      </c>
      <c r="C272" s="10" t="s">
        <v>25</v>
      </c>
      <c r="D272" s="10">
        <v>11294.0</v>
      </c>
      <c r="E272" s="12">
        <f t="shared" si="29"/>
        <v>113.6268</v>
      </c>
      <c r="F272" s="12">
        <f t="shared" si="30"/>
        <v>21.6432</v>
      </c>
      <c r="G272" s="14">
        <v>135.27</v>
      </c>
    </row>
    <row r="273" ht="15.75" customHeight="1">
      <c r="A273" s="9">
        <v>45450.0</v>
      </c>
      <c r="B273" s="10" t="s">
        <v>36</v>
      </c>
      <c r="C273" s="10" t="s">
        <v>25</v>
      </c>
      <c r="D273" s="10">
        <v>11409.0</v>
      </c>
      <c r="E273" s="12">
        <f t="shared" si="29"/>
        <v>20.5632</v>
      </c>
      <c r="F273" s="12">
        <f t="shared" si="30"/>
        <v>3.9168</v>
      </c>
      <c r="G273" s="14">
        <v>24.48</v>
      </c>
    </row>
    <row r="274" ht="15.75" customHeight="1">
      <c r="A274" s="9">
        <v>45450.0</v>
      </c>
      <c r="B274" s="10" t="s">
        <v>12</v>
      </c>
      <c r="C274" s="10" t="s">
        <v>8</v>
      </c>
      <c r="D274" s="10" t="s">
        <v>121</v>
      </c>
      <c r="E274" s="12">
        <f t="shared" si="29"/>
        <v>20.16</v>
      </c>
      <c r="F274" s="12">
        <f t="shared" si="30"/>
        <v>3.84</v>
      </c>
      <c r="G274" s="14">
        <v>24.0</v>
      </c>
    </row>
    <row r="275" ht="15.75" customHeight="1">
      <c r="A275" s="9">
        <v>45450.0</v>
      </c>
      <c r="B275" s="10" t="s">
        <v>46</v>
      </c>
      <c r="C275" s="10" t="s">
        <v>8</v>
      </c>
      <c r="D275" s="10">
        <v>2273928.0</v>
      </c>
      <c r="E275" s="12">
        <f t="shared" si="29"/>
        <v>122.9088</v>
      </c>
      <c r="F275" s="12">
        <f t="shared" si="30"/>
        <v>23.4112</v>
      </c>
      <c r="G275" s="14">
        <v>146.32</v>
      </c>
    </row>
    <row r="276" ht="15.75" customHeight="1">
      <c r="A276" s="9">
        <v>45451.0</v>
      </c>
      <c r="B276" s="10" t="s">
        <v>12</v>
      </c>
      <c r="C276" s="10" t="s">
        <v>8</v>
      </c>
      <c r="D276" s="10" t="s">
        <v>122</v>
      </c>
      <c r="E276" s="12">
        <f t="shared" si="29"/>
        <v>168.84</v>
      </c>
      <c r="F276" s="12">
        <f t="shared" si="30"/>
        <v>32.16</v>
      </c>
      <c r="G276" s="14">
        <v>201.0</v>
      </c>
    </row>
    <row r="277" ht="15.75" customHeight="1">
      <c r="A277" s="9">
        <v>45451.0</v>
      </c>
      <c r="B277" s="10" t="s">
        <v>24</v>
      </c>
      <c r="C277" s="10" t="s">
        <v>25</v>
      </c>
      <c r="D277" s="10" t="s">
        <v>123</v>
      </c>
      <c r="E277" s="12">
        <f t="shared" si="29"/>
        <v>81.48</v>
      </c>
      <c r="F277" s="12">
        <f t="shared" si="30"/>
        <v>15.52</v>
      </c>
      <c r="G277" s="14">
        <v>97.0</v>
      </c>
    </row>
    <row r="278" ht="15.75" customHeight="1">
      <c r="A278" s="9"/>
      <c r="G278" s="12"/>
    </row>
    <row r="279" ht="15.75" customHeight="1">
      <c r="A279" s="9">
        <v>45453.0</v>
      </c>
      <c r="B279" s="10" t="s">
        <v>12</v>
      </c>
      <c r="C279" s="10" t="s">
        <v>8</v>
      </c>
      <c r="D279" s="10" t="s">
        <v>124</v>
      </c>
      <c r="E279" s="12">
        <f t="shared" ref="E279:E283" si="31">G279-F279</f>
        <v>230.16</v>
      </c>
      <c r="F279" s="12">
        <f t="shared" ref="F279:F283" si="32">MULTIPLY(G279,0.16)</f>
        <v>43.84</v>
      </c>
      <c r="G279" s="14">
        <v>274.0</v>
      </c>
    </row>
    <row r="280" ht="15.75" customHeight="1">
      <c r="A280" s="9">
        <v>45454.0</v>
      </c>
      <c r="B280" s="10" t="s">
        <v>95</v>
      </c>
      <c r="C280" s="10" t="s">
        <v>8</v>
      </c>
      <c r="D280" s="10">
        <v>6222.0</v>
      </c>
      <c r="E280" s="12">
        <f t="shared" si="31"/>
        <v>1636.9416</v>
      </c>
      <c r="F280" s="12">
        <f t="shared" si="32"/>
        <v>311.7984</v>
      </c>
      <c r="G280" s="14">
        <v>1948.74</v>
      </c>
    </row>
    <row r="281" ht="15.75" customHeight="1">
      <c r="A281" s="9">
        <v>45455.0</v>
      </c>
      <c r="B281" s="10" t="s">
        <v>12</v>
      </c>
      <c r="C281" s="10" t="s">
        <v>8</v>
      </c>
      <c r="D281" s="10" t="s">
        <v>125</v>
      </c>
      <c r="E281" s="12">
        <f t="shared" si="31"/>
        <v>15.12</v>
      </c>
      <c r="F281" s="12">
        <f t="shared" si="32"/>
        <v>2.88</v>
      </c>
      <c r="G281" s="14">
        <v>18.0</v>
      </c>
    </row>
    <row r="282" ht="15.75" customHeight="1">
      <c r="A282" s="9">
        <v>45455.0</v>
      </c>
      <c r="B282" s="16" t="s">
        <v>9</v>
      </c>
      <c r="C282" s="16" t="s">
        <v>8</v>
      </c>
      <c r="D282" s="21">
        <v>22423.0</v>
      </c>
      <c r="E282" s="12">
        <f t="shared" si="31"/>
        <v>37.8</v>
      </c>
      <c r="F282" s="12">
        <f t="shared" si="32"/>
        <v>7.2</v>
      </c>
      <c r="G282" s="14">
        <v>45.0</v>
      </c>
    </row>
    <row r="283" ht="15.75" customHeight="1">
      <c r="A283" s="9">
        <v>45457.0</v>
      </c>
      <c r="B283" s="16" t="s">
        <v>9</v>
      </c>
      <c r="C283" s="16" t="s">
        <v>8</v>
      </c>
      <c r="D283" s="21">
        <v>22505.0</v>
      </c>
      <c r="E283" s="12">
        <f t="shared" si="31"/>
        <v>43.68</v>
      </c>
      <c r="F283" s="12">
        <f t="shared" si="32"/>
        <v>8.32</v>
      </c>
      <c r="G283" s="14">
        <v>52.0</v>
      </c>
    </row>
    <row r="284" ht="15.75" customHeight="1">
      <c r="A284" s="9"/>
      <c r="B284" s="16"/>
      <c r="C284" s="16"/>
      <c r="G284" s="12"/>
    </row>
    <row r="285" ht="15.75" customHeight="1">
      <c r="A285" s="9">
        <v>45459.0</v>
      </c>
      <c r="B285" s="16" t="s">
        <v>9</v>
      </c>
      <c r="C285" s="16" t="s">
        <v>8</v>
      </c>
      <c r="D285" s="21">
        <v>89394.0</v>
      </c>
      <c r="E285" s="12">
        <f t="shared" ref="E285:E292" si="33">G285-F285</f>
        <v>299.04</v>
      </c>
      <c r="F285" s="12">
        <f t="shared" ref="F285:F292" si="34">MULTIPLY(G285,0.16)</f>
        <v>56.96</v>
      </c>
      <c r="G285" s="14">
        <v>356.0</v>
      </c>
    </row>
    <row r="286" ht="15.75" customHeight="1">
      <c r="A286" s="9">
        <v>45459.0</v>
      </c>
      <c r="B286" s="16" t="s">
        <v>9</v>
      </c>
      <c r="C286" s="16" t="s">
        <v>8</v>
      </c>
      <c r="D286" s="21">
        <v>89416.0</v>
      </c>
      <c r="E286" s="12">
        <f t="shared" si="33"/>
        <v>11.76</v>
      </c>
      <c r="F286" s="12">
        <f t="shared" si="34"/>
        <v>2.24</v>
      </c>
      <c r="G286" s="14">
        <v>14.0</v>
      </c>
    </row>
    <row r="287" ht="15.75" customHeight="1">
      <c r="A287" s="9">
        <v>45462.0</v>
      </c>
      <c r="B287" s="10" t="s">
        <v>12</v>
      </c>
      <c r="C287" s="10" t="s">
        <v>8</v>
      </c>
      <c r="D287" s="21" t="s">
        <v>126</v>
      </c>
      <c r="E287" s="12">
        <f t="shared" si="33"/>
        <v>58.758</v>
      </c>
      <c r="F287" s="12">
        <f t="shared" si="34"/>
        <v>11.192</v>
      </c>
      <c r="G287" s="14">
        <v>69.95</v>
      </c>
    </row>
    <row r="288" ht="15.75" customHeight="1">
      <c r="A288" s="9">
        <v>45462.0</v>
      </c>
      <c r="B288" s="16" t="s">
        <v>9</v>
      </c>
      <c r="C288" s="16" t="s">
        <v>8</v>
      </c>
      <c r="D288" s="21">
        <v>22672.0</v>
      </c>
      <c r="E288" s="12">
        <f t="shared" si="33"/>
        <v>131.04</v>
      </c>
      <c r="F288" s="12">
        <f t="shared" si="34"/>
        <v>24.96</v>
      </c>
      <c r="G288" s="14">
        <v>156.0</v>
      </c>
    </row>
    <row r="289" ht="15.75" customHeight="1">
      <c r="A289" s="9">
        <v>45463.0</v>
      </c>
      <c r="B289" s="10" t="s">
        <v>12</v>
      </c>
      <c r="C289" s="10" t="s">
        <v>8</v>
      </c>
      <c r="D289" s="21" t="s">
        <v>127</v>
      </c>
      <c r="E289" s="12">
        <f t="shared" si="33"/>
        <v>87.3432</v>
      </c>
      <c r="F289" s="12">
        <f t="shared" si="34"/>
        <v>16.6368</v>
      </c>
      <c r="G289" s="14">
        <v>103.98</v>
      </c>
    </row>
    <row r="290" ht="15.75" customHeight="1">
      <c r="A290" s="9">
        <v>45464.0</v>
      </c>
      <c r="B290" s="10" t="s">
        <v>12</v>
      </c>
      <c r="C290" s="10" t="s">
        <v>8</v>
      </c>
      <c r="D290" s="21" t="s">
        <v>128</v>
      </c>
      <c r="E290" s="12">
        <f t="shared" si="33"/>
        <v>70.5096</v>
      </c>
      <c r="F290" s="12">
        <f t="shared" si="34"/>
        <v>13.4304</v>
      </c>
      <c r="G290" s="14">
        <v>83.94</v>
      </c>
    </row>
    <row r="291" ht="15.75" customHeight="1">
      <c r="A291" s="9">
        <v>45464.0</v>
      </c>
      <c r="B291" s="10" t="s">
        <v>90</v>
      </c>
      <c r="C291" s="10" t="s">
        <v>8</v>
      </c>
      <c r="D291" s="21">
        <v>84392.0</v>
      </c>
      <c r="E291" s="12">
        <f t="shared" si="33"/>
        <v>260.4</v>
      </c>
      <c r="F291" s="12">
        <f t="shared" si="34"/>
        <v>49.6</v>
      </c>
      <c r="G291" s="14">
        <v>310.0</v>
      </c>
    </row>
    <row r="292" ht="15.75" customHeight="1">
      <c r="A292" s="9">
        <v>45465.0</v>
      </c>
      <c r="B292" s="10" t="s">
        <v>12</v>
      </c>
      <c r="C292" s="10" t="s">
        <v>8</v>
      </c>
      <c r="D292" s="21" t="s">
        <v>129</v>
      </c>
      <c r="E292" s="12">
        <f t="shared" si="33"/>
        <v>35.2548</v>
      </c>
      <c r="F292" s="12">
        <f t="shared" si="34"/>
        <v>6.7152</v>
      </c>
      <c r="G292" s="14">
        <v>41.97</v>
      </c>
    </row>
    <row r="293" ht="15.75" customHeight="1">
      <c r="A293" s="9"/>
      <c r="B293" s="10"/>
      <c r="C293" s="10"/>
      <c r="G293" s="12"/>
    </row>
    <row r="294" ht="15.75" customHeight="1">
      <c r="A294" s="19">
        <v>45468.0</v>
      </c>
      <c r="B294" s="16" t="s">
        <v>64</v>
      </c>
      <c r="C294" s="16" t="s">
        <v>48</v>
      </c>
      <c r="D294" s="22">
        <v>1121486.0</v>
      </c>
      <c r="E294" s="20">
        <f t="shared" ref="E294:E299" si="35">G294-F294</f>
        <v>918.8172</v>
      </c>
      <c r="F294" s="20">
        <f t="shared" ref="F294:F299" si="36">MULTIPLY(G294,0.16)</f>
        <v>175.0128</v>
      </c>
      <c r="G294" s="20">
        <v>1093.83</v>
      </c>
    </row>
    <row r="295" ht="15.75" customHeight="1">
      <c r="A295" s="19">
        <v>45468.0</v>
      </c>
      <c r="B295" s="16" t="s">
        <v>95</v>
      </c>
      <c r="C295" s="16" t="s">
        <v>8</v>
      </c>
      <c r="D295" s="22">
        <v>6447.0</v>
      </c>
      <c r="E295" s="20">
        <f t="shared" si="35"/>
        <v>1444.6824</v>
      </c>
      <c r="F295" s="20">
        <f t="shared" si="36"/>
        <v>275.1776</v>
      </c>
      <c r="G295" s="20">
        <v>1719.86</v>
      </c>
    </row>
    <row r="296" ht="15.75" customHeight="1">
      <c r="A296" s="9">
        <v>45468.0</v>
      </c>
      <c r="B296" s="16" t="s">
        <v>9</v>
      </c>
      <c r="C296" s="16" t="s">
        <v>8</v>
      </c>
      <c r="D296" s="21">
        <v>22865.0</v>
      </c>
      <c r="E296" s="12">
        <f t="shared" si="35"/>
        <v>111.72</v>
      </c>
      <c r="F296" s="12">
        <f t="shared" si="36"/>
        <v>21.28</v>
      </c>
      <c r="G296" s="14">
        <v>133.0</v>
      </c>
    </row>
    <row r="297" ht="15.75" customHeight="1">
      <c r="A297" s="9">
        <v>45469.0</v>
      </c>
      <c r="B297" s="10" t="s">
        <v>63</v>
      </c>
      <c r="C297" s="10" t="s">
        <v>8</v>
      </c>
      <c r="D297" s="21">
        <v>759769.0</v>
      </c>
      <c r="E297" s="12">
        <f t="shared" si="35"/>
        <v>422.4864</v>
      </c>
      <c r="F297" s="12">
        <f t="shared" si="36"/>
        <v>80.4736</v>
      </c>
      <c r="G297" s="14">
        <v>502.96</v>
      </c>
    </row>
    <row r="298" ht="15.75" customHeight="1">
      <c r="A298" s="9">
        <v>45470.0</v>
      </c>
      <c r="B298" s="10" t="s">
        <v>12</v>
      </c>
      <c r="C298" s="10" t="s">
        <v>8</v>
      </c>
      <c r="D298" s="21" t="s">
        <v>130</v>
      </c>
      <c r="E298" s="12">
        <f t="shared" si="35"/>
        <v>70.5096</v>
      </c>
      <c r="F298" s="12">
        <f t="shared" si="36"/>
        <v>13.4304</v>
      </c>
      <c r="G298" s="14">
        <v>83.94</v>
      </c>
    </row>
    <row r="299" ht="15.75" customHeight="1">
      <c r="A299" s="9">
        <v>45470.0</v>
      </c>
      <c r="B299" s="10" t="s">
        <v>115</v>
      </c>
      <c r="C299" s="10" t="s">
        <v>25</v>
      </c>
      <c r="D299" s="21">
        <v>7.1010534E7</v>
      </c>
      <c r="E299" s="12">
        <f t="shared" si="35"/>
        <v>85.5624</v>
      </c>
      <c r="F299" s="12">
        <f t="shared" si="36"/>
        <v>16.2976</v>
      </c>
      <c r="G299" s="14">
        <v>101.86</v>
      </c>
    </row>
    <row r="300" ht="15.75" customHeight="1">
      <c r="A300" s="18"/>
      <c r="G300" s="12"/>
    </row>
    <row r="301" ht="15.75" customHeight="1">
      <c r="A301" s="9">
        <v>45474.0</v>
      </c>
      <c r="B301" s="16" t="s">
        <v>9</v>
      </c>
      <c r="C301" s="16" t="s">
        <v>8</v>
      </c>
      <c r="D301" s="21">
        <v>23071.0</v>
      </c>
      <c r="E301" s="12">
        <f t="shared" ref="E301:E307" si="37">G301-F301</f>
        <v>941.64</v>
      </c>
      <c r="F301" s="12">
        <f t="shared" ref="F301:F307" si="38">MULTIPLY(G301,0.16)</f>
        <v>179.36</v>
      </c>
      <c r="G301" s="14">
        <v>1121.0</v>
      </c>
    </row>
    <row r="302" ht="15.75" customHeight="1">
      <c r="A302" s="9">
        <v>45475.0</v>
      </c>
      <c r="B302" s="10" t="s">
        <v>12</v>
      </c>
      <c r="C302" s="10" t="s">
        <v>8</v>
      </c>
      <c r="D302" s="21">
        <v>10224.0</v>
      </c>
      <c r="E302" s="12">
        <f t="shared" si="37"/>
        <v>199.9284</v>
      </c>
      <c r="F302" s="12">
        <f t="shared" si="38"/>
        <v>38.0816</v>
      </c>
      <c r="G302" s="14">
        <v>238.01</v>
      </c>
    </row>
    <row r="303" ht="15.75" customHeight="1">
      <c r="A303" s="9">
        <v>45475.0</v>
      </c>
      <c r="B303" s="21" t="s">
        <v>131</v>
      </c>
      <c r="C303" s="21" t="s">
        <v>29</v>
      </c>
      <c r="D303" s="21">
        <v>120917.0</v>
      </c>
      <c r="E303" s="12">
        <f t="shared" si="37"/>
        <v>183.12</v>
      </c>
      <c r="F303" s="12">
        <f t="shared" si="38"/>
        <v>34.88</v>
      </c>
      <c r="G303" s="14">
        <v>218.0</v>
      </c>
    </row>
    <row r="304" ht="15.75" customHeight="1">
      <c r="A304" s="9">
        <v>45476.0</v>
      </c>
      <c r="B304" s="16" t="s">
        <v>9</v>
      </c>
      <c r="C304" s="16" t="s">
        <v>8</v>
      </c>
      <c r="D304" s="21">
        <v>23162.0</v>
      </c>
      <c r="E304" s="12">
        <f t="shared" si="37"/>
        <v>291.48</v>
      </c>
      <c r="F304" s="12">
        <f t="shared" si="38"/>
        <v>55.52</v>
      </c>
      <c r="G304" s="14">
        <v>347.0</v>
      </c>
    </row>
    <row r="305" ht="15.75" customHeight="1">
      <c r="A305" s="9">
        <v>45476.0</v>
      </c>
      <c r="B305" s="16" t="s">
        <v>9</v>
      </c>
      <c r="C305" s="16" t="s">
        <v>8</v>
      </c>
      <c r="D305" s="21">
        <v>23163.0</v>
      </c>
      <c r="E305" s="12">
        <f t="shared" si="37"/>
        <v>541.8</v>
      </c>
      <c r="F305" s="12">
        <f t="shared" si="38"/>
        <v>103.2</v>
      </c>
      <c r="G305" s="14">
        <v>645.0</v>
      </c>
    </row>
    <row r="306" ht="15.75" customHeight="1">
      <c r="A306" s="9">
        <v>45477.0</v>
      </c>
      <c r="B306" s="10" t="s">
        <v>12</v>
      </c>
      <c r="C306" s="10" t="s">
        <v>8</v>
      </c>
      <c r="D306" s="21" t="s">
        <v>132</v>
      </c>
      <c r="E306" s="12">
        <f t="shared" si="37"/>
        <v>189.8316</v>
      </c>
      <c r="F306" s="12">
        <f t="shared" si="38"/>
        <v>36.1584</v>
      </c>
      <c r="G306" s="14">
        <v>225.99</v>
      </c>
    </row>
    <row r="307" ht="15.75" customHeight="1">
      <c r="A307" s="9">
        <v>45478.0</v>
      </c>
      <c r="B307" s="10" t="s">
        <v>12</v>
      </c>
      <c r="C307" s="10" t="s">
        <v>8</v>
      </c>
      <c r="D307" s="21" t="s">
        <v>133</v>
      </c>
      <c r="E307" s="12">
        <f t="shared" si="37"/>
        <v>330.96</v>
      </c>
      <c r="F307" s="12">
        <f t="shared" si="38"/>
        <v>63.04</v>
      </c>
      <c r="G307" s="14">
        <v>394.0</v>
      </c>
    </row>
    <row r="308" ht="15.75" customHeight="1">
      <c r="A308" s="15"/>
      <c r="G308" s="12"/>
    </row>
    <row r="309" ht="15.75" customHeight="1">
      <c r="A309" s="9">
        <v>45481.0</v>
      </c>
      <c r="B309" s="23" t="s">
        <v>134</v>
      </c>
      <c r="C309" s="16" t="s">
        <v>8</v>
      </c>
      <c r="D309" s="24">
        <v>14086.0</v>
      </c>
      <c r="E309" s="12">
        <f t="shared" ref="E309:E313" si="39">G309-F309</f>
        <v>940.8</v>
      </c>
      <c r="F309" s="12">
        <f t="shared" ref="F309:F313" si="40">MULTIPLY(G309,0.16)</f>
        <v>179.2</v>
      </c>
      <c r="G309" s="14">
        <v>1120.0</v>
      </c>
    </row>
    <row r="310" ht="15.75" customHeight="1">
      <c r="A310" s="9">
        <v>45481.0</v>
      </c>
      <c r="B310" s="22" t="s">
        <v>24</v>
      </c>
      <c r="C310" s="16" t="s">
        <v>25</v>
      </c>
      <c r="D310" s="25" t="s">
        <v>135</v>
      </c>
      <c r="E310" s="12">
        <f t="shared" si="39"/>
        <v>141.3216</v>
      </c>
      <c r="F310" s="12">
        <f t="shared" si="40"/>
        <v>26.9184</v>
      </c>
      <c r="G310" s="14">
        <v>168.24</v>
      </c>
    </row>
    <row r="311" ht="15.75" customHeight="1">
      <c r="A311" s="9">
        <v>45483.0</v>
      </c>
      <c r="B311" s="16" t="s">
        <v>9</v>
      </c>
      <c r="C311" s="16" t="s">
        <v>8</v>
      </c>
      <c r="D311" s="21">
        <v>23406.0</v>
      </c>
      <c r="E311" s="12">
        <f t="shared" si="39"/>
        <v>75.6</v>
      </c>
      <c r="F311" s="12">
        <f t="shared" si="40"/>
        <v>14.4</v>
      </c>
      <c r="G311" s="14">
        <v>90.0</v>
      </c>
    </row>
    <row r="312" ht="15.75" customHeight="1">
      <c r="A312" s="9">
        <v>45484.0</v>
      </c>
      <c r="B312" s="16" t="s">
        <v>9</v>
      </c>
      <c r="C312" s="16" t="s">
        <v>8</v>
      </c>
      <c r="D312" s="21">
        <v>23456.0</v>
      </c>
      <c r="E312" s="12">
        <f t="shared" si="39"/>
        <v>108.36</v>
      </c>
      <c r="F312" s="12">
        <f t="shared" si="40"/>
        <v>20.64</v>
      </c>
      <c r="G312" s="14">
        <v>129.0</v>
      </c>
    </row>
    <row r="313" ht="15.75" customHeight="1">
      <c r="A313" s="9">
        <v>45484.0</v>
      </c>
      <c r="B313" s="10" t="s">
        <v>12</v>
      </c>
      <c r="C313" s="10" t="s">
        <v>8</v>
      </c>
      <c r="D313" s="21" t="s">
        <v>136</v>
      </c>
      <c r="E313" s="12">
        <f t="shared" si="39"/>
        <v>83.1516</v>
      </c>
      <c r="F313" s="12">
        <f t="shared" si="40"/>
        <v>15.8384</v>
      </c>
      <c r="G313" s="14">
        <v>98.99</v>
      </c>
    </row>
    <row r="314" ht="15.75" customHeight="1">
      <c r="A314" s="15"/>
      <c r="G314" s="12"/>
    </row>
    <row r="315" ht="15.75" customHeight="1">
      <c r="A315" s="9">
        <v>45488.0</v>
      </c>
      <c r="B315" s="10" t="s">
        <v>12</v>
      </c>
      <c r="C315" s="10" t="s">
        <v>8</v>
      </c>
      <c r="D315" s="21" t="s">
        <v>137</v>
      </c>
      <c r="E315" s="12">
        <f>G315-F315</f>
        <v>1554.0084</v>
      </c>
      <c r="F315" s="12">
        <f>MULTIPLY(G315,0.16)</f>
        <v>296.0016</v>
      </c>
      <c r="G315" s="14">
        <v>1850.01</v>
      </c>
    </row>
    <row r="316" ht="15.75" customHeight="1">
      <c r="A316" s="15"/>
      <c r="G316" s="12"/>
    </row>
    <row r="317" ht="15.75" customHeight="1">
      <c r="A317" s="9">
        <v>45495.0</v>
      </c>
      <c r="B317" s="10" t="s">
        <v>63</v>
      </c>
      <c r="C317" s="10" t="s">
        <v>8</v>
      </c>
      <c r="D317" s="10">
        <v>131481.0</v>
      </c>
      <c r="E317" s="12">
        <f t="shared" ref="E317:E418" si="41">G317-F317</f>
        <v>111.1992</v>
      </c>
      <c r="F317" s="12">
        <f t="shared" ref="F317:F418" si="42">MULTIPLY(G317,0.16)</f>
        <v>21.1808</v>
      </c>
      <c r="G317" s="13">
        <v>132.38</v>
      </c>
    </row>
    <row r="318" ht="15.75" customHeight="1">
      <c r="A318" s="9">
        <v>45498.0</v>
      </c>
      <c r="B318" s="10" t="s">
        <v>9</v>
      </c>
      <c r="C318" s="10" t="s">
        <v>8</v>
      </c>
      <c r="D318" s="10">
        <v>23856.0</v>
      </c>
      <c r="E318" s="12">
        <f t="shared" si="41"/>
        <v>119.28</v>
      </c>
      <c r="F318" s="12">
        <f t="shared" si="42"/>
        <v>22.72</v>
      </c>
      <c r="G318" s="13">
        <v>142.0</v>
      </c>
    </row>
    <row r="319" ht="15.75" customHeight="1">
      <c r="A319" s="9">
        <v>45499.0</v>
      </c>
      <c r="B319" s="10" t="s">
        <v>9</v>
      </c>
      <c r="C319" s="10" t="s">
        <v>8</v>
      </c>
      <c r="D319" s="10">
        <v>116552.0</v>
      </c>
      <c r="E319" s="12">
        <f t="shared" si="41"/>
        <v>105.84</v>
      </c>
      <c r="F319" s="12">
        <f t="shared" si="42"/>
        <v>20.16</v>
      </c>
      <c r="G319" s="13">
        <v>126.0</v>
      </c>
    </row>
    <row r="320" ht="15.75" customHeight="1">
      <c r="A320" s="9">
        <v>45500.0</v>
      </c>
      <c r="B320" s="10" t="s">
        <v>63</v>
      </c>
      <c r="C320" s="10" t="s">
        <v>8</v>
      </c>
      <c r="D320" s="10">
        <v>762754.0</v>
      </c>
      <c r="E320" s="12">
        <f t="shared" si="41"/>
        <v>1413.8712</v>
      </c>
      <c r="F320" s="12">
        <f t="shared" si="42"/>
        <v>269.3088</v>
      </c>
      <c r="G320" s="13">
        <v>1683.18</v>
      </c>
    </row>
    <row r="321" ht="15.75" customHeight="1">
      <c r="A321" s="9">
        <v>45501.0</v>
      </c>
      <c r="B321" s="10" t="s">
        <v>138</v>
      </c>
      <c r="C321" s="10" t="s">
        <v>8</v>
      </c>
      <c r="D321" s="10">
        <v>145148.0</v>
      </c>
      <c r="E321" s="12">
        <f t="shared" si="41"/>
        <v>1642.5696</v>
      </c>
      <c r="F321" s="12">
        <f t="shared" si="42"/>
        <v>312.8704</v>
      </c>
      <c r="G321" s="13">
        <v>1955.44</v>
      </c>
    </row>
    <row r="322" ht="15.75" customHeight="1">
      <c r="A322" s="9">
        <v>45502.0</v>
      </c>
      <c r="B322" s="10" t="s">
        <v>9</v>
      </c>
      <c r="C322" s="10" t="s">
        <v>8</v>
      </c>
      <c r="D322" s="10">
        <v>23943.0</v>
      </c>
      <c r="E322" s="12">
        <f t="shared" si="41"/>
        <v>2835</v>
      </c>
      <c r="F322" s="12">
        <f t="shared" si="42"/>
        <v>540</v>
      </c>
      <c r="G322" s="13">
        <v>3375.0</v>
      </c>
    </row>
    <row r="323" ht="15.75" customHeight="1">
      <c r="A323" s="9">
        <v>45502.0</v>
      </c>
      <c r="B323" s="10" t="s">
        <v>9</v>
      </c>
      <c r="C323" s="10" t="s">
        <v>8</v>
      </c>
      <c r="D323" s="10">
        <v>23945.0</v>
      </c>
      <c r="E323" s="12">
        <f t="shared" si="41"/>
        <v>290.6316</v>
      </c>
      <c r="F323" s="12">
        <f t="shared" si="42"/>
        <v>55.3584</v>
      </c>
      <c r="G323" s="13">
        <v>345.99</v>
      </c>
    </row>
    <row r="324" ht="15.75" customHeight="1">
      <c r="A324" s="9">
        <v>45503.0</v>
      </c>
      <c r="B324" s="10" t="s">
        <v>9</v>
      </c>
      <c r="C324" s="10" t="s">
        <v>8</v>
      </c>
      <c r="D324" s="10">
        <v>23965.0</v>
      </c>
      <c r="E324" s="12">
        <f t="shared" si="41"/>
        <v>105.84</v>
      </c>
      <c r="F324" s="12">
        <f t="shared" si="42"/>
        <v>20.16</v>
      </c>
      <c r="G324" s="13">
        <v>126.0</v>
      </c>
    </row>
    <row r="325" ht="15.75" customHeight="1">
      <c r="A325" s="9">
        <v>45504.0</v>
      </c>
      <c r="B325" s="10" t="s">
        <v>9</v>
      </c>
      <c r="C325" s="10" t="s">
        <v>8</v>
      </c>
      <c r="D325" s="10">
        <v>24019.0</v>
      </c>
      <c r="E325" s="12">
        <f t="shared" si="41"/>
        <v>225.12</v>
      </c>
      <c r="F325" s="12">
        <f t="shared" si="42"/>
        <v>42.88</v>
      </c>
      <c r="G325" s="13">
        <v>268.0</v>
      </c>
    </row>
    <row r="326" ht="15.75" customHeight="1">
      <c r="A326" s="9">
        <v>45504.0</v>
      </c>
      <c r="B326" s="10" t="s">
        <v>139</v>
      </c>
      <c r="C326" s="10" t="s">
        <v>8</v>
      </c>
      <c r="D326" s="10">
        <v>112354.0</v>
      </c>
      <c r="E326" s="12">
        <f t="shared" si="41"/>
        <v>144.6396</v>
      </c>
      <c r="F326" s="12">
        <f t="shared" si="42"/>
        <v>27.5504</v>
      </c>
      <c r="G326" s="13">
        <v>172.19</v>
      </c>
    </row>
    <row r="327" ht="15.75" customHeight="1">
      <c r="A327" s="9">
        <v>45504.0</v>
      </c>
      <c r="B327" s="10" t="s">
        <v>139</v>
      </c>
      <c r="C327" s="10" t="s">
        <v>8</v>
      </c>
      <c r="D327" s="10">
        <v>112345.0</v>
      </c>
      <c r="E327" s="12">
        <f t="shared" si="41"/>
        <v>135.1644</v>
      </c>
      <c r="F327" s="12">
        <f t="shared" si="42"/>
        <v>25.7456</v>
      </c>
      <c r="G327" s="13">
        <v>160.91</v>
      </c>
    </row>
    <row r="328" ht="15.75" customHeight="1">
      <c r="A328" s="9">
        <v>45505.0</v>
      </c>
      <c r="B328" s="10" t="s">
        <v>54</v>
      </c>
      <c r="C328" s="10" t="s">
        <v>83</v>
      </c>
      <c r="D328" s="10">
        <v>25905.0</v>
      </c>
      <c r="E328" s="12">
        <f t="shared" si="41"/>
        <v>63.0924</v>
      </c>
      <c r="F328" s="12">
        <f t="shared" si="42"/>
        <v>12.0176</v>
      </c>
      <c r="G328" s="14">
        <v>75.11</v>
      </c>
    </row>
    <row r="329" ht="15.75" customHeight="1">
      <c r="A329" s="9">
        <v>45505.0</v>
      </c>
      <c r="B329" s="10" t="s">
        <v>140</v>
      </c>
      <c r="C329" s="10" t="s">
        <v>79</v>
      </c>
      <c r="D329" s="10">
        <v>35588.0</v>
      </c>
      <c r="E329" s="12">
        <f t="shared" si="41"/>
        <v>399</v>
      </c>
      <c r="F329" s="12">
        <f t="shared" si="42"/>
        <v>76</v>
      </c>
      <c r="G329" s="13">
        <v>475.0</v>
      </c>
    </row>
    <row r="330" ht="15.75" customHeight="1">
      <c r="A330" s="9">
        <v>45505.0</v>
      </c>
      <c r="B330" s="10" t="s">
        <v>9</v>
      </c>
      <c r="C330" s="10" t="s">
        <v>8</v>
      </c>
      <c r="D330" s="10">
        <v>249843.0</v>
      </c>
      <c r="E330" s="12">
        <f t="shared" si="41"/>
        <v>105</v>
      </c>
      <c r="F330" s="12">
        <f t="shared" si="42"/>
        <v>20</v>
      </c>
      <c r="G330" s="13">
        <v>125.0</v>
      </c>
    </row>
    <row r="331" ht="15.75" customHeight="1">
      <c r="A331" s="9">
        <v>45507.0</v>
      </c>
      <c r="B331" s="10" t="s">
        <v>9</v>
      </c>
      <c r="C331" s="10" t="s">
        <v>8</v>
      </c>
      <c r="D331" s="10">
        <v>117626.0</v>
      </c>
      <c r="E331" s="12">
        <f t="shared" si="41"/>
        <v>35.28</v>
      </c>
      <c r="F331" s="12">
        <f t="shared" si="42"/>
        <v>6.72</v>
      </c>
      <c r="G331" s="13">
        <v>42.0</v>
      </c>
    </row>
    <row r="332" ht="15.75" customHeight="1">
      <c r="A332" s="9">
        <v>45511.0</v>
      </c>
      <c r="B332" s="10" t="s">
        <v>9</v>
      </c>
      <c r="C332" s="10" t="s">
        <v>8</v>
      </c>
      <c r="D332" s="10">
        <v>251709.0</v>
      </c>
      <c r="E332" s="12">
        <f t="shared" si="41"/>
        <v>21.84</v>
      </c>
      <c r="F332" s="12">
        <f t="shared" si="42"/>
        <v>4.16</v>
      </c>
      <c r="G332" s="13">
        <v>26.0</v>
      </c>
    </row>
    <row r="333" ht="15.75" customHeight="1">
      <c r="A333" s="9">
        <v>45513.0</v>
      </c>
      <c r="B333" s="10" t="s">
        <v>9</v>
      </c>
      <c r="C333" s="10" t="s">
        <v>8</v>
      </c>
      <c r="D333" s="10">
        <v>118309.0</v>
      </c>
      <c r="E333" s="12">
        <f t="shared" si="41"/>
        <v>83.16</v>
      </c>
      <c r="F333" s="12">
        <f t="shared" si="42"/>
        <v>15.84</v>
      </c>
      <c r="G333" s="13">
        <v>99.0</v>
      </c>
    </row>
    <row r="334" ht="15.75" customHeight="1">
      <c r="A334" s="9">
        <v>45518.0</v>
      </c>
      <c r="B334" s="10" t="s">
        <v>63</v>
      </c>
      <c r="C334" s="10" t="s">
        <v>8</v>
      </c>
      <c r="D334" s="10">
        <v>709689.0</v>
      </c>
      <c r="E334" s="12">
        <f t="shared" si="41"/>
        <v>217.5264</v>
      </c>
      <c r="F334" s="12">
        <f t="shared" si="42"/>
        <v>41.4336</v>
      </c>
      <c r="G334" s="13">
        <v>258.96</v>
      </c>
    </row>
    <row r="335" ht="15.75" customHeight="1">
      <c r="A335" s="9">
        <v>45518.0</v>
      </c>
      <c r="B335" s="10" t="s">
        <v>140</v>
      </c>
      <c r="C335" s="10" t="s">
        <v>79</v>
      </c>
      <c r="D335" s="10">
        <v>100176.0</v>
      </c>
      <c r="E335" s="12">
        <f t="shared" si="41"/>
        <v>84</v>
      </c>
      <c r="F335" s="12">
        <f t="shared" si="42"/>
        <v>16</v>
      </c>
      <c r="G335" s="13">
        <v>100.0</v>
      </c>
    </row>
    <row r="336" ht="15.75" customHeight="1">
      <c r="A336" s="9">
        <v>45518.0</v>
      </c>
      <c r="B336" s="10" t="s">
        <v>9</v>
      </c>
      <c r="C336" s="10" t="s">
        <v>8</v>
      </c>
      <c r="D336" s="10">
        <v>118926.0</v>
      </c>
      <c r="E336" s="12">
        <f t="shared" si="41"/>
        <v>6.72</v>
      </c>
      <c r="F336" s="12">
        <f t="shared" si="42"/>
        <v>1.28</v>
      </c>
      <c r="G336" s="13">
        <v>8.0</v>
      </c>
    </row>
    <row r="337" ht="15.75" customHeight="1">
      <c r="A337" s="9">
        <v>45523.0</v>
      </c>
      <c r="B337" s="10" t="s">
        <v>63</v>
      </c>
      <c r="C337" s="10" t="s">
        <v>8</v>
      </c>
      <c r="D337" s="10">
        <v>709934.0</v>
      </c>
      <c r="E337" s="12">
        <f t="shared" si="41"/>
        <v>937.7424</v>
      </c>
      <c r="F337" s="12">
        <f t="shared" si="42"/>
        <v>178.6176</v>
      </c>
      <c r="G337" s="13">
        <v>1116.36</v>
      </c>
    </row>
    <row r="338" ht="15.75" customHeight="1">
      <c r="A338" s="9">
        <v>45523.0</v>
      </c>
      <c r="B338" s="10" t="s">
        <v>141</v>
      </c>
      <c r="C338" s="10" t="s">
        <v>8</v>
      </c>
      <c r="D338" s="10">
        <v>10725.0</v>
      </c>
      <c r="E338" s="12">
        <f t="shared" si="41"/>
        <v>335.1516</v>
      </c>
      <c r="F338" s="12">
        <f t="shared" si="42"/>
        <v>63.8384</v>
      </c>
      <c r="G338" s="13">
        <v>398.99</v>
      </c>
    </row>
    <row r="339" ht="15.75" customHeight="1">
      <c r="A339" s="9">
        <v>45523.0</v>
      </c>
      <c r="B339" s="10" t="s">
        <v>142</v>
      </c>
      <c r="C339" s="10" t="s">
        <v>8</v>
      </c>
      <c r="D339" s="10">
        <v>22425.0</v>
      </c>
      <c r="E339" s="12">
        <f t="shared" si="41"/>
        <v>545.9916</v>
      </c>
      <c r="F339" s="12">
        <f t="shared" si="42"/>
        <v>103.9984</v>
      </c>
      <c r="G339" s="13">
        <v>649.99</v>
      </c>
    </row>
    <row r="340" ht="15.75" customHeight="1">
      <c r="A340" s="9">
        <v>45523.0</v>
      </c>
      <c r="B340" s="10" t="s">
        <v>9</v>
      </c>
      <c r="C340" s="10" t="s">
        <v>8</v>
      </c>
      <c r="D340" s="10">
        <v>119650.0</v>
      </c>
      <c r="E340" s="12">
        <f t="shared" si="41"/>
        <v>3.36</v>
      </c>
      <c r="F340" s="12">
        <f t="shared" si="42"/>
        <v>0.64</v>
      </c>
      <c r="G340" s="13">
        <v>4.0</v>
      </c>
    </row>
    <row r="341" ht="15.75" customHeight="1">
      <c r="A341" s="9">
        <v>45525.0</v>
      </c>
      <c r="B341" s="10" t="s">
        <v>9</v>
      </c>
      <c r="C341" s="10" t="s">
        <v>8</v>
      </c>
      <c r="D341" s="10">
        <v>24472.0</v>
      </c>
      <c r="E341" s="12">
        <f t="shared" si="41"/>
        <v>414.12</v>
      </c>
      <c r="F341" s="12">
        <f t="shared" si="42"/>
        <v>78.88</v>
      </c>
      <c r="G341" s="13">
        <v>493.0</v>
      </c>
    </row>
    <row r="342" ht="15.75" customHeight="1">
      <c r="A342" s="9">
        <v>45525.0</v>
      </c>
      <c r="B342" s="10" t="s">
        <v>9</v>
      </c>
      <c r="C342" s="10" t="s">
        <v>8</v>
      </c>
      <c r="D342" s="10">
        <v>24470.0</v>
      </c>
      <c r="E342" s="12">
        <f t="shared" si="41"/>
        <v>745.08</v>
      </c>
      <c r="F342" s="12">
        <f t="shared" si="42"/>
        <v>141.92</v>
      </c>
      <c r="G342" s="13">
        <v>887.0</v>
      </c>
    </row>
    <row r="343" ht="15.75" customHeight="1">
      <c r="A343" s="9">
        <v>45525.0</v>
      </c>
      <c r="B343" s="10" t="s">
        <v>9</v>
      </c>
      <c r="C343" s="10" t="s">
        <v>8</v>
      </c>
      <c r="D343" s="10">
        <v>119991.0</v>
      </c>
      <c r="E343" s="12">
        <f t="shared" si="41"/>
        <v>24.36</v>
      </c>
      <c r="F343" s="12">
        <f t="shared" si="42"/>
        <v>4.64</v>
      </c>
      <c r="G343" s="13">
        <v>29.0</v>
      </c>
    </row>
    <row r="344" ht="15.75" customHeight="1">
      <c r="A344" s="9">
        <v>45526.0</v>
      </c>
      <c r="B344" s="10" t="s">
        <v>24</v>
      </c>
      <c r="C344" s="10" t="s">
        <v>25</v>
      </c>
      <c r="D344" s="10" t="s">
        <v>143</v>
      </c>
      <c r="E344" s="12">
        <f t="shared" si="41"/>
        <v>74.0544</v>
      </c>
      <c r="F344" s="12">
        <f t="shared" si="42"/>
        <v>14.1056</v>
      </c>
      <c r="G344" s="13">
        <v>88.16</v>
      </c>
    </row>
    <row r="345" ht="15.75" customHeight="1">
      <c r="A345" s="9">
        <v>45526.0</v>
      </c>
      <c r="B345" s="10" t="s">
        <v>24</v>
      </c>
      <c r="C345" s="10" t="s">
        <v>25</v>
      </c>
      <c r="D345" s="10" t="s">
        <v>144</v>
      </c>
      <c r="E345" s="12">
        <f t="shared" si="41"/>
        <v>106.5204</v>
      </c>
      <c r="F345" s="12">
        <f t="shared" si="42"/>
        <v>20.2896</v>
      </c>
      <c r="G345" s="13">
        <v>126.81</v>
      </c>
    </row>
    <row r="346" ht="15.75" customHeight="1">
      <c r="A346" s="9">
        <v>45526.0</v>
      </c>
      <c r="B346" s="10" t="s">
        <v>24</v>
      </c>
      <c r="C346" s="10" t="s">
        <v>25</v>
      </c>
      <c r="D346" s="10" t="s">
        <v>145</v>
      </c>
      <c r="E346" s="12">
        <f t="shared" si="41"/>
        <v>136.5336</v>
      </c>
      <c r="F346" s="12">
        <f t="shared" si="42"/>
        <v>26.0064</v>
      </c>
      <c r="G346" s="13">
        <v>162.54</v>
      </c>
    </row>
    <row r="347" ht="15.75" customHeight="1">
      <c r="A347" s="9">
        <v>45526.0</v>
      </c>
      <c r="B347" s="10" t="s">
        <v>36</v>
      </c>
      <c r="C347" s="10" t="s">
        <v>25</v>
      </c>
      <c r="D347" s="10">
        <v>17355.0</v>
      </c>
      <c r="E347" s="12">
        <f t="shared" si="41"/>
        <v>72.492</v>
      </c>
      <c r="F347" s="12">
        <f t="shared" si="42"/>
        <v>13.808</v>
      </c>
      <c r="G347" s="13">
        <v>86.3</v>
      </c>
    </row>
    <row r="348" ht="15.75" customHeight="1">
      <c r="A348" s="9">
        <v>45526.0</v>
      </c>
      <c r="B348" s="10" t="s">
        <v>9</v>
      </c>
      <c r="C348" s="10" t="s">
        <v>8</v>
      </c>
      <c r="D348" s="10">
        <v>120165.0</v>
      </c>
      <c r="E348" s="12">
        <f t="shared" si="41"/>
        <v>50.4</v>
      </c>
      <c r="F348" s="12">
        <f t="shared" si="42"/>
        <v>9.6</v>
      </c>
      <c r="G348" s="13">
        <v>60.0</v>
      </c>
    </row>
    <row r="349" ht="15.75" customHeight="1">
      <c r="A349" s="9">
        <v>45526.0</v>
      </c>
      <c r="B349" s="10" t="s">
        <v>9</v>
      </c>
      <c r="C349" s="10" t="s">
        <v>8</v>
      </c>
      <c r="D349" s="10">
        <v>120130.0</v>
      </c>
      <c r="E349" s="12">
        <f t="shared" si="41"/>
        <v>32.76</v>
      </c>
      <c r="F349" s="12">
        <f t="shared" si="42"/>
        <v>6.24</v>
      </c>
      <c r="G349" s="13">
        <v>39.0</v>
      </c>
    </row>
    <row r="350" ht="15.75" customHeight="1">
      <c r="A350" s="9">
        <v>45527.0</v>
      </c>
      <c r="B350" s="10" t="s">
        <v>9</v>
      </c>
      <c r="C350" s="10" t="s">
        <v>8</v>
      </c>
      <c r="D350" s="10">
        <v>120245.0</v>
      </c>
      <c r="E350" s="12">
        <f t="shared" si="41"/>
        <v>82.32</v>
      </c>
      <c r="F350" s="12">
        <f t="shared" si="42"/>
        <v>15.68</v>
      </c>
      <c r="G350" s="13">
        <v>98.0</v>
      </c>
    </row>
    <row r="351" ht="15.75" customHeight="1">
      <c r="A351" s="9">
        <v>45528.0</v>
      </c>
      <c r="B351" s="10" t="s">
        <v>9</v>
      </c>
      <c r="C351" s="10" t="s">
        <v>8</v>
      </c>
      <c r="D351" s="10">
        <v>120340.0</v>
      </c>
      <c r="E351" s="12">
        <f t="shared" si="41"/>
        <v>24.36</v>
      </c>
      <c r="F351" s="12">
        <f t="shared" si="42"/>
        <v>4.64</v>
      </c>
      <c r="G351" s="13">
        <v>29.0</v>
      </c>
    </row>
    <row r="352" ht="15.75" customHeight="1">
      <c r="A352" s="9">
        <v>45528.0</v>
      </c>
      <c r="B352" s="10" t="s">
        <v>9</v>
      </c>
      <c r="C352" s="10" t="s">
        <v>8</v>
      </c>
      <c r="D352" s="10">
        <v>120369.0</v>
      </c>
      <c r="E352" s="12">
        <f t="shared" si="41"/>
        <v>7.56</v>
      </c>
      <c r="F352" s="12">
        <f t="shared" si="42"/>
        <v>1.44</v>
      </c>
      <c r="G352" s="13">
        <v>9.0</v>
      </c>
    </row>
    <row r="353" ht="15.75" customHeight="1">
      <c r="A353" s="9">
        <v>45528.0</v>
      </c>
      <c r="B353" s="10" t="s">
        <v>36</v>
      </c>
      <c r="C353" s="10" t="s">
        <v>25</v>
      </c>
      <c r="D353" s="10">
        <v>19862.0</v>
      </c>
      <c r="E353" s="12">
        <f t="shared" si="41"/>
        <v>27.4428</v>
      </c>
      <c r="F353" s="12">
        <f t="shared" si="42"/>
        <v>5.2272</v>
      </c>
      <c r="G353" s="13">
        <v>32.67</v>
      </c>
    </row>
    <row r="354" ht="15.75" customHeight="1">
      <c r="A354" s="9">
        <v>45560.0</v>
      </c>
      <c r="B354" s="10" t="s">
        <v>14</v>
      </c>
      <c r="C354" s="10" t="s">
        <v>15</v>
      </c>
      <c r="D354" s="11"/>
      <c r="E354" s="12">
        <f t="shared" si="41"/>
        <v>46.9644</v>
      </c>
      <c r="F354" s="12">
        <f t="shared" si="42"/>
        <v>8.9456</v>
      </c>
      <c r="G354" s="13">
        <v>55.91</v>
      </c>
    </row>
    <row r="355" ht="15.75" customHeight="1">
      <c r="A355" s="9">
        <v>45530.0</v>
      </c>
      <c r="B355" s="10" t="s">
        <v>9</v>
      </c>
      <c r="C355" s="10" t="s">
        <v>8</v>
      </c>
      <c r="D355" s="10">
        <v>120492.0</v>
      </c>
      <c r="E355" s="12">
        <f t="shared" si="41"/>
        <v>91.56</v>
      </c>
      <c r="F355" s="12">
        <f t="shared" si="42"/>
        <v>17.44</v>
      </c>
      <c r="G355" s="13">
        <v>109.0</v>
      </c>
    </row>
    <row r="356" ht="15.75" customHeight="1">
      <c r="A356" s="9">
        <v>45531.0</v>
      </c>
      <c r="B356" s="10" t="s">
        <v>90</v>
      </c>
      <c r="C356" s="10" t="s">
        <v>8</v>
      </c>
      <c r="D356" s="10">
        <v>91269.0</v>
      </c>
      <c r="E356" s="12">
        <f t="shared" si="41"/>
        <v>63.0084</v>
      </c>
      <c r="F356" s="12">
        <f t="shared" si="42"/>
        <v>12.0016</v>
      </c>
      <c r="G356" s="13">
        <v>75.01</v>
      </c>
    </row>
    <row r="357" ht="15.75" customHeight="1">
      <c r="A357" s="9">
        <v>45531.0</v>
      </c>
      <c r="B357" s="10" t="s">
        <v>9</v>
      </c>
      <c r="C357" s="10" t="s">
        <v>8</v>
      </c>
      <c r="D357" s="10">
        <v>120581.0</v>
      </c>
      <c r="E357" s="12">
        <f t="shared" si="41"/>
        <v>71.4</v>
      </c>
      <c r="F357" s="12">
        <f t="shared" si="42"/>
        <v>13.6</v>
      </c>
      <c r="G357" s="13">
        <v>85.0</v>
      </c>
    </row>
    <row r="358" ht="15.75" customHeight="1">
      <c r="A358" s="9">
        <v>45531.0</v>
      </c>
      <c r="B358" s="10" t="s">
        <v>9</v>
      </c>
      <c r="C358" s="10" t="s">
        <v>8</v>
      </c>
      <c r="D358" s="10">
        <v>120591.0</v>
      </c>
      <c r="E358" s="12">
        <f t="shared" si="41"/>
        <v>16.8</v>
      </c>
      <c r="F358" s="12">
        <f t="shared" si="42"/>
        <v>3.2</v>
      </c>
      <c r="G358" s="13">
        <v>20.0</v>
      </c>
    </row>
    <row r="359" ht="15.75" customHeight="1">
      <c r="A359" s="9">
        <v>45531.0</v>
      </c>
      <c r="B359" s="10" t="s">
        <v>9</v>
      </c>
      <c r="C359" s="10" t="s">
        <v>8</v>
      </c>
      <c r="D359" s="10">
        <v>120622.0</v>
      </c>
      <c r="E359" s="12">
        <f t="shared" si="41"/>
        <v>10.08</v>
      </c>
      <c r="F359" s="12">
        <f t="shared" si="42"/>
        <v>1.92</v>
      </c>
      <c r="G359" s="13">
        <v>12.0</v>
      </c>
    </row>
    <row r="360" ht="15.75" customHeight="1">
      <c r="A360" s="9">
        <v>45532.0</v>
      </c>
      <c r="B360" s="10" t="s">
        <v>36</v>
      </c>
      <c r="C360" s="10" t="s">
        <v>25</v>
      </c>
      <c r="D360" s="10">
        <v>17803.0</v>
      </c>
      <c r="E360" s="12">
        <f t="shared" si="41"/>
        <v>24.6876</v>
      </c>
      <c r="F360" s="12">
        <f t="shared" si="42"/>
        <v>4.7024</v>
      </c>
      <c r="G360" s="13">
        <v>29.39</v>
      </c>
    </row>
    <row r="361" ht="15.75" customHeight="1">
      <c r="A361" s="9">
        <v>45534.0</v>
      </c>
      <c r="B361" s="10" t="s">
        <v>141</v>
      </c>
      <c r="C361" s="10" t="s">
        <v>8</v>
      </c>
      <c r="D361" s="10">
        <v>7948.0</v>
      </c>
      <c r="E361" s="12">
        <f t="shared" si="41"/>
        <v>670.3284</v>
      </c>
      <c r="F361" s="12">
        <f t="shared" si="42"/>
        <v>127.6816</v>
      </c>
      <c r="G361" s="13">
        <v>798.01</v>
      </c>
    </row>
    <row r="362" ht="15.75" customHeight="1">
      <c r="A362" s="9">
        <v>45537.0</v>
      </c>
      <c r="B362" s="10" t="s">
        <v>63</v>
      </c>
      <c r="C362" s="10" t="s">
        <v>8</v>
      </c>
      <c r="D362" s="10">
        <v>766289.0</v>
      </c>
      <c r="E362" s="12">
        <f t="shared" si="41"/>
        <v>109.4016</v>
      </c>
      <c r="F362" s="12">
        <f t="shared" si="42"/>
        <v>20.8384</v>
      </c>
      <c r="G362" s="13">
        <v>130.24</v>
      </c>
    </row>
    <row r="363" ht="15.75" customHeight="1">
      <c r="A363" s="9">
        <v>45538.0</v>
      </c>
      <c r="B363" s="10" t="s">
        <v>146</v>
      </c>
      <c r="C363" s="10" t="s">
        <v>8</v>
      </c>
      <c r="D363" s="10">
        <v>8019.0</v>
      </c>
      <c r="E363" s="12">
        <f t="shared" si="41"/>
        <v>1162.5516</v>
      </c>
      <c r="F363" s="12">
        <f t="shared" si="42"/>
        <v>221.4384</v>
      </c>
      <c r="G363" s="13">
        <v>1383.99</v>
      </c>
    </row>
    <row r="364" ht="15.75" customHeight="1">
      <c r="A364" s="9">
        <v>45538.0</v>
      </c>
      <c r="B364" s="10" t="s">
        <v>90</v>
      </c>
      <c r="C364" s="10" t="s">
        <v>8</v>
      </c>
      <c r="D364" s="10">
        <v>92160.0</v>
      </c>
      <c r="E364" s="12">
        <f t="shared" si="41"/>
        <v>74.76</v>
      </c>
      <c r="F364" s="12">
        <f t="shared" si="42"/>
        <v>14.24</v>
      </c>
      <c r="G364" s="13">
        <v>89.0</v>
      </c>
    </row>
    <row r="365" ht="15.75" customHeight="1">
      <c r="A365" s="9">
        <v>45539.0</v>
      </c>
      <c r="B365" s="10" t="s">
        <v>147</v>
      </c>
      <c r="C365" s="10" t="s">
        <v>8</v>
      </c>
      <c r="D365" s="10" t="s">
        <v>148</v>
      </c>
      <c r="E365" s="12">
        <f t="shared" si="41"/>
        <v>95.004</v>
      </c>
      <c r="F365" s="12">
        <f t="shared" si="42"/>
        <v>18.096</v>
      </c>
      <c r="G365" s="13">
        <v>113.1</v>
      </c>
    </row>
    <row r="366" ht="15.75" customHeight="1">
      <c r="A366" s="9">
        <v>45539.0</v>
      </c>
      <c r="B366" s="10" t="s">
        <v>146</v>
      </c>
      <c r="C366" s="10" t="s">
        <v>8</v>
      </c>
      <c r="D366" s="10">
        <v>8060.0</v>
      </c>
      <c r="E366" s="12">
        <f t="shared" si="41"/>
        <v>102.1356</v>
      </c>
      <c r="F366" s="12">
        <f t="shared" si="42"/>
        <v>19.4544</v>
      </c>
      <c r="G366" s="13">
        <v>121.59</v>
      </c>
    </row>
    <row r="367" ht="15.75" customHeight="1">
      <c r="A367" s="9">
        <v>45539.0</v>
      </c>
      <c r="B367" s="10" t="s">
        <v>149</v>
      </c>
      <c r="C367" s="10" t="s">
        <v>8</v>
      </c>
      <c r="D367" s="10">
        <v>19664.0</v>
      </c>
      <c r="E367" s="12">
        <f t="shared" si="41"/>
        <v>151.116</v>
      </c>
      <c r="F367" s="12">
        <f t="shared" si="42"/>
        <v>28.784</v>
      </c>
      <c r="G367" s="13">
        <v>179.9</v>
      </c>
    </row>
    <row r="368" ht="15.75" customHeight="1">
      <c r="A368" s="9">
        <v>45539.0</v>
      </c>
      <c r="B368" s="10" t="s">
        <v>36</v>
      </c>
      <c r="C368" s="10" t="s">
        <v>25</v>
      </c>
      <c r="D368" s="10">
        <v>18360.0</v>
      </c>
      <c r="E368" s="12">
        <f t="shared" si="41"/>
        <v>34.65</v>
      </c>
      <c r="F368" s="12">
        <f t="shared" si="42"/>
        <v>6.6</v>
      </c>
      <c r="G368" s="13">
        <v>41.25</v>
      </c>
    </row>
    <row r="369" ht="15.75" customHeight="1">
      <c r="A369" s="9">
        <v>45540.0</v>
      </c>
      <c r="B369" s="10" t="s">
        <v>146</v>
      </c>
      <c r="C369" s="10" t="s">
        <v>8</v>
      </c>
      <c r="D369" s="10">
        <v>8099.0</v>
      </c>
      <c r="E369" s="12">
        <f t="shared" si="41"/>
        <v>698.7876</v>
      </c>
      <c r="F369" s="12">
        <f t="shared" si="42"/>
        <v>133.1024</v>
      </c>
      <c r="G369" s="13">
        <v>831.89</v>
      </c>
    </row>
    <row r="370" ht="15.75" customHeight="1">
      <c r="A370" s="9">
        <v>45540.0</v>
      </c>
      <c r="B370" s="10" t="s">
        <v>146</v>
      </c>
      <c r="C370" s="10" t="s">
        <v>8</v>
      </c>
      <c r="D370" s="10">
        <v>8073.0</v>
      </c>
      <c r="E370" s="12">
        <f t="shared" si="41"/>
        <v>15.96</v>
      </c>
      <c r="F370" s="12">
        <f t="shared" si="42"/>
        <v>3.04</v>
      </c>
      <c r="G370" s="13">
        <v>19.0</v>
      </c>
    </row>
    <row r="371" ht="15.75" customHeight="1">
      <c r="A371" s="9">
        <v>45540.0</v>
      </c>
      <c r="B371" s="10" t="s">
        <v>146</v>
      </c>
      <c r="C371" s="10" t="s">
        <v>8</v>
      </c>
      <c r="D371" s="10">
        <v>8072.0</v>
      </c>
      <c r="E371" s="12">
        <f t="shared" si="41"/>
        <v>515.5668</v>
      </c>
      <c r="F371" s="12">
        <f t="shared" si="42"/>
        <v>98.2032</v>
      </c>
      <c r="G371" s="13">
        <v>613.77</v>
      </c>
    </row>
    <row r="372" ht="15.75" customHeight="1">
      <c r="A372" s="9">
        <v>45540.0</v>
      </c>
      <c r="B372" s="10" t="s">
        <v>9</v>
      </c>
      <c r="C372" s="10" t="s">
        <v>8</v>
      </c>
      <c r="D372" s="10">
        <v>121896.0</v>
      </c>
      <c r="E372" s="12">
        <f t="shared" si="41"/>
        <v>3.528</v>
      </c>
      <c r="F372" s="12">
        <f t="shared" si="42"/>
        <v>0.672</v>
      </c>
      <c r="G372" s="13">
        <v>4.2</v>
      </c>
    </row>
    <row r="373" ht="15.75" customHeight="1">
      <c r="A373" s="9">
        <v>45540.0</v>
      </c>
      <c r="B373" s="10" t="s">
        <v>9</v>
      </c>
      <c r="C373" s="10" t="s">
        <v>8</v>
      </c>
      <c r="D373" s="10">
        <v>121947.0</v>
      </c>
      <c r="E373" s="12">
        <f t="shared" si="41"/>
        <v>10.92</v>
      </c>
      <c r="F373" s="12">
        <f t="shared" si="42"/>
        <v>2.08</v>
      </c>
      <c r="G373" s="13">
        <v>13.0</v>
      </c>
    </row>
    <row r="374" ht="15.75" customHeight="1">
      <c r="A374" s="9">
        <v>45541.0</v>
      </c>
      <c r="B374" s="10" t="s">
        <v>24</v>
      </c>
      <c r="C374" s="10" t="s">
        <v>25</v>
      </c>
      <c r="D374" s="10" t="s">
        <v>150</v>
      </c>
      <c r="E374" s="12">
        <f t="shared" si="41"/>
        <v>17.7828</v>
      </c>
      <c r="F374" s="12">
        <f t="shared" si="42"/>
        <v>3.3872</v>
      </c>
      <c r="G374" s="13">
        <v>21.17</v>
      </c>
    </row>
    <row r="375" ht="15.75" customHeight="1">
      <c r="A375" s="9">
        <v>45541.0</v>
      </c>
      <c r="B375" s="10" t="s">
        <v>9</v>
      </c>
      <c r="C375" s="10" t="s">
        <v>8</v>
      </c>
      <c r="D375" s="10">
        <v>121882.0</v>
      </c>
      <c r="E375" s="12">
        <f t="shared" si="41"/>
        <v>107.688</v>
      </c>
      <c r="F375" s="12">
        <f t="shared" si="42"/>
        <v>20.512</v>
      </c>
      <c r="G375" s="13">
        <v>128.2</v>
      </c>
    </row>
    <row r="376" ht="15.75" customHeight="1">
      <c r="A376" s="9">
        <v>45542.0</v>
      </c>
      <c r="B376" s="10" t="s">
        <v>9</v>
      </c>
      <c r="C376" s="10" t="s">
        <v>8</v>
      </c>
      <c r="D376" s="10">
        <v>122087.0</v>
      </c>
      <c r="E376" s="12">
        <f t="shared" si="41"/>
        <v>214.2</v>
      </c>
      <c r="F376" s="12">
        <f t="shared" si="42"/>
        <v>40.8</v>
      </c>
      <c r="G376" s="13">
        <v>255.0</v>
      </c>
    </row>
    <row r="377" ht="15.75" customHeight="1">
      <c r="A377" s="9">
        <v>45544.0</v>
      </c>
      <c r="B377" s="10" t="s">
        <v>62</v>
      </c>
      <c r="C377" s="10" t="s">
        <v>25</v>
      </c>
      <c r="D377" s="10">
        <v>754750.0</v>
      </c>
      <c r="E377" s="12">
        <f t="shared" si="41"/>
        <v>460.6896</v>
      </c>
      <c r="F377" s="12">
        <f t="shared" si="42"/>
        <v>87.7504</v>
      </c>
      <c r="G377" s="13">
        <v>548.44</v>
      </c>
    </row>
    <row r="378" ht="15.75" customHeight="1">
      <c r="A378" s="9">
        <v>45544.0</v>
      </c>
      <c r="B378" s="10" t="s">
        <v>9</v>
      </c>
      <c r="C378" s="10" t="s">
        <v>8</v>
      </c>
      <c r="D378" s="10">
        <v>122399.0</v>
      </c>
      <c r="E378" s="12">
        <f t="shared" si="41"/>
        <v>162.96</v>
      </c>
      <c r="F378" s="12">
        <f t="shared" si="42"/>
        <v>31.04</v>
      </c>
      <c r="G378" s="13">
        <v>194.0</v>
      </c>
    </row>
    <row r="379" ht="15.75" customHeight="1">
      <c r="A379" s="9">
        <v>45545.0</v>
      </c>
      <c r="B379" s="10" t="s">
        <v>9</v>
      </c>
      <c r="C379" s="10" t="s">
        <v>8</v>
      </c>
      <c r="D379" s="10">
        <v>122235.0</v>
      </c>
      <c r="E379" s="12">
        <f t="shared" si="41"/>
        <v>196.56</v>
      </c>
      <c r="F379" s="12">
        <f t="shared" si="42"/>
        <v>37.44</v>
      </c>
      <c r="G379" s="13">
        <v>234.0</v>
      </c>
    </row>
    <row r="380" ht="15.75" customHeight="1">
      <c r="A380" s="9">
        <v>45546.0</v>
      </c>
      <c r="B380" s="10" t="s">
        <v>9</v>
      </c>
      <c r="C380" s="10" t="s">
        <v>8</v>
      </c>
      <c r="D380" s="10">
        <v>122549.0</v>
      </c>
      <c r="E380" s="12">
        <f t="shared" si="41"/>
        <v>96.6</v>
      </c>
      <c r="F380" s="12">
        <f t="shared" si="42"/>
        <v>18.4</v>
      </c>
      <c r="G380" s="13">
        <v>115.0</v>
      </c>
    </row>
    <row r="381" ht="15.75" customHeight="1">
      <c r="A381" s="9">
        <v>45548.0</v>
      </c>
      <c r="B381" s="10" t="s">
        <v>9</v>
      </c>
      <c r="C381" s="10" t="s">
        <v>8</v>
      </c>
      <c r="D381" s="10">
        <v>122856.0</v>
      </c>
      <c r="E381" s="12">
        <f t="shared" si="41"/>
        <v>209.16</v>
      </c>
      <c r="F381" s="12">
        <f t="shared" si="42"/>
        <v>39.84</v>
      </c>
      <c r="G381" s="13">
        <v>249.0</v>
      </c>
    </row>
    <row r="382" ht="15.75" customHeight="1">
      <c r="A382" s="9">
        <v>45549.0</v>
      </c>
      <c r="B382" s="10" t="s">
        <v>118</v>
      </c>
      <c r="C382" s="10" t="s">
        <v>31</v>
      </c>
      <c r="D382" s="10">
        <v>99203.0</v>
      </c>
      <c r="E382" s="12">
        <f t="shared" si="41"/>
        <v>46.2</v>
      </c>
      <c r="F382" s="12">
        <f t="shared" si="42"/>
        <v>8.8</v>
      </c>
      <c r="G382" s="13">
        <v>55.0</v>
      </c>
    </row>
    <row r="383" ht="15.75" customHeight="1">
      <c r="A383" s="9">
        <v>45552.0</v>
      </c>
      <c r="B383" s="10" t="s">
        <v>63</v>
      </c>
      <c r="C383" s="10" t="s">
        <v>8</v>
      </c>
      <c r="D383" s="10">
        <v>5.0510474E7</v>
      </c>
      <c r="E383" s="12">
        <f t="shared" si="41"/>
        <v>9.7608</v>
      </c>
      <c r="F383" s="12">
        <f t="shared" si="42"/>
        <v>1.8592</v>
      </c>
      <c r="G383" s="13">
        <v>11.62</v>
      </c>
    </row>
    <row r="384" ht="15.75" customHeight="1">
      <c r="A384" s="9">
        <v>45554.0</v>
      </c>
      <c r="B384" s="10" t="s">
        <v>24</v>
      </c>
      <c r="C384" s="10" t="s">
        <v>25</v>
      </c>
      <c r="D384" s="10" t="s">
        <v>151</v>
      </c>
      <c r="E384" s="12">
        <f t="shared" si="41"/>
        <v>210.9072</v>
      </c>
      <c r="F384" s="12">
        <f t="shared" si="42"/>
        <v>40.1728</v>
      </c>
      <c r="G384" s="13">
        <v>251.08</v>
      </c>
    </row>
    <row r="385" ht="15.75" customHeight="1">
      <c r="A385" s="9">
        <v>45555.0</v>
      </c>
      <c r="B385" s="10" t="s">
        <v>9</v>
      </c>
      <c r="C385" s="10" t="s">
        <v>8</v>
      </c>
      <c r="D385" s="10">
        <v>123619.0</v>
      </c>
      <c r="E385" s="12">
        <f t="shared" si="41"/>
        <v>75.6</v>
      </c>
      <c r="F385" s="12">
        <f t="shared" si="42"/>
        <v>14.4</v>
      </c>
      <c r="G385" s="13">
        <v>90.0</v>
      </c>
    </row>
    <row r="386" ht="15.75" customHeight="1">
      <c r="A386" s="9">
        <v>45559.0</v>
      </c>
      <c r="B386" s="10" t="s">
        <v>36</v>
      </c>
      <c r="C386" s="10" t="s">
        <v>25</v>
      </c>
      <c r="D386" s="10">
        <v>19862.0</v>
      </c>
      <c r="E386" s="12">
        <f t="shared" si="41"/>
        <v>27.4428</v>
      </c>
      <c r="F386" s="12">
        <f t="shared" si="42"/>
        <v>5.2272</v>
      </c>
      <c r="G386" s="13">
        <v>32.67</v>
      </c>
    </row>
    <row r="387" ht="15.75" customHeight="1">
      <c r="A387" s="9">
        <v>45559.0</v>
      </c>
      <c r="B387" s="10" t="s">
        <v>7</v>
      </c>
      <c r="C387" s="10" t="s">
        <v>8</v>
      </c>
      <c r="D387" s="10">
        <v>15851.0</v>
      </c>
      <c r="E387" s="12">
        <f t="shared" si="41"/>
        <v>1934.184</v>
      </c>
      <c r="F387" s="12">
        <f t="shared" si="42"/>
        <v>368.416</v>
      </c>
      <c r="G387" s="13">
        <v>2302.6</v>
      </c>
    </row>
    <row r="388" ht="15.75" customHeight="1">
      <c r="A388" s="9">
        <v>45560.0</v>
      </c>
      <c r="B388" s="10" t="s">
        <v>14</v>
      </c>
      <c r="C388" s="10" t="s">
        <v>15</v>
      </c>
      <c r="D388" s="11"/>
      <c r="E388" s="12">
        <f t="shared" si="41"/>
        <v>46.9644</v>
      </c>
      <c r="F388" s="12">
        <f t="shared" si="42"/>
        <v>8.9456</v>
      </c>
      <c r="G388" s="13">
        <v>55.91</v>
      </c>
    </row>
    <row r="389" ht="15.75" customHeight="1">
      <c r="A389" s="9">
        <v>45563.0</v>
      </c>
      <c r="B389" s="10" t="s">
        <v>14</v>
      </c>
      <c r="C389" s="10" t="s">
        <v>15</v>
      </c>
      <c r="D389" s="10" t="s">
        <v>152</v>
      </c>
      <c r="E389" s="12">
        <f t="shared" si="41"/>
        <v>95.508</v>
      </c>
      <c r="F389" s="12">
        <f t="shared" si="42"/>
        <v>18.192</v>
      </c>
      <c r="G389" s="13">
        <v>113.7</v>
      </c>
    </row>
    <row r="390" ht="15.75" customHeight="1">
      <c r="A390" s="9">
        <v>45567.0</v>
      </c>
      <c r="B390" s="10" t="s">
        <v>24</v>
      </c>
      <c r="C390" s="10" t="s">
        <v>25</v>
      </c>
      <c r="D390" s="10" t="s">
        <v>153</v>
      </c>
      <c r="E390" s="12">
        <f t="shared" si="41"/>
        <v>44.7216</v>
      </c>
      <c r="F390" s="12">
        <f t="shared" si="42"/>
        <v>8.5184</v>
      </c>
      <c r="G390" s="13">
        <v>53.24</v>
      </c>
    </row>
    <row r="391" ht="15.75" customHeight="1">
      <c r="A391" s="9">
        <v>45567.0</v>
      </c>
      <c r="B391" s="10" t="s">
        <v>9</v>
      </c>
      <c r="C391" s="10" t="s">
        <v>8</v>
      </c>
      <c r="D391" s="10">
        <v>124913.0</v>
      </c>
      <c r="E391" s="12">
        <f t="shared" si="41"/>
        <v>283.92</v>
      </c>
      <c r="F391" s="12">
        <f t="shared" si="42"/>
        <v>54.08</v>
      </c>
      <c r="G391" s="13">
        <v>338.0</v>
      </c>
    </row>
    <row r="392" ht="15.75" customHeight="1">
      <c r="A392" s="9">
        <v>45567.0</v>
      </c>
      <c r="B392" s="10" t="s">
        <v>9</v>
      </c>
      <c r="C392" s="10" t="s">
        <v>8</v>
      </c>
      <c r="D392" s="10">
        <v>125000.0</v>
      </c>
      <c r="E392" s="12">
        <f t="shared" si="41"/>
        <v>155.4</v>
      </c>
      <c r="F392" s="12">
        <f t="shared" si="42"/>
        <v>29.6</v>
      </c>
      <c r="G392" s="13">
        <v>185.0</v>
      </c>
    </row>
    <row r="393" ht="15.75" customHeight="1">
      <c r="A393" s="9">
        <v>45567.0</v>
      </c>
      <c r="B393" s="10" t="s">
        <v>9</v>
      </c>
      <c r="C393" s="10" t="s">
        <v>8</v>
      </c>
      <c r="D393" s="10">
        <v>125046.0</v>
      </c>
      <c r="E393" s="12">
        <f t="shared" si="41"/>
        <v>58.8</v>
      </c>
      <c r="F393" s="12">
        <f t="shared" si="42"/>
        <v>11.2</v>
      </c>
      <c r="G393" s="13">
        <v>70.0</v>
      </c>
    </row>
    <row r="394" ht="15.75" customHeight="1">
      <c r="A394" s="9">
        <v>45567.0</v>
      </c>
      <c r="B394" s="10" t="s">
        <v>9</v>
      </c>
      <c r="C394" s="10" t="s">
        <v>8</v>
      </c>
      <c r="D394" s="10">
        <v>125055.0</v>
      </c>
      <c r="E394" s="12">
        <f t="shared" si="41"/>
        <v>38.64</v>
      </c>
      <c r="F394" s="12">
        <f t="shared" si="42"/>
        <v>7.36</v>
      </c>
      <c r="G394" s="13">
        <v>46.0</v>
      </c>
    </row>
    <row r="395" ht="15.75" customHeight="1">
      <c r="A395" s="9">
        <v>45568.0</v>
      </c>
      <c r="B395" s="10" t="s">
        <v>24</v>
      </c>
      <c r="C395" s="10" t="s">
        <v>25</v>
      </c>
      <c r="D395" s="10" t="s">
        <v>154</v>
      </c>
      <c r="E395" s="12">
        <f t="shared" si="41"/>
        <v>513.2736</v>
      </c>
      <c r="F395" s="12">
        <f t="shared" si="42"/>
        <v>97.7664</v>
      </c>
      <c r="G395" s="13">
        <v>611.04</v>
      </c>
    </row>
    <row r="396" ht="15.75" customHeight="1">
      <c r="A396" s="9">
        <v>45568.0</v>
      </c>
      <c r="B396" s="10" t="s">
        <v>24</v>
      </c>
      <c r="C396" s="10" t="s">
        <v>25</v>
      </c>
      <c r="D396" s="10" t="s">
        <v>155</v>
      </c>
      <c r="E396" s="12">
        <f t="shared" si="41"/>
        <v>41.8992</v>
      </c>
      <c r="F396" s="12">
        <f t="shared" si="42"/>
        <v>7.9808</v>
      </c>
      <c r="G396" s="13">
        <v>49.88</v>
      </c>
    </row>
    <row r="397" ht="15.75" customHeight="1">
      <c r="A397" s="9">
        <v>45568.0</v>
      </c>
      <c r="B397" s="10" t="s">
        <v>156</v>
      </c>
      <c r="C397" s="10" t="s">
        <v>25</v>
      </c>
      <c r="D397" s="10">
        <v>10722.0</v>
      </c>
      <c r="E397" s="12">
        <f t="shared" si="41"/>
        <v>511.4508</v>
      </c>
      <c r="F397" s="12">
        <f t="shared" si="42"/>
        <v>97.4192</v>
      </c>
      <c r="G397" s="13">
        <v>608.87</v>
      </c>
    </row>
    <row r="398" ht="15.75" customHeight="1">
      <c r="A398" s="9">
        <v>45568.0</v>
      </c>
      <c r="B398" s="10" t="s">
        <v>157</v>
      </c>
      <c r="C398" s="10" t="s">
        <v>8</v>
      </c>
      <c r="D398" s="10">
        <v>5.0631561E8</v>
      </c>
      <c r="E398" s="12">
        <f t="shared" si="41"/>
        <v>1047.4632</v>
      </c>
      <c r="F398" s="12">
        <f t="shared" si="42"/>
        <v>199.5168</v>
      </c>
      <c r="G398" s="13">
        <v>1246.98</v>
      </c>
    </row>
    <row r="399" ht="15.75" customHeight="1">
      <c r="A399" s="9">
        <v>45569.0</v>
      </c>
      <c r="B399" s="10" t="s">
        <v>9</v>
      </c>
      <c r="C399" s="10" t="s">
        <v>8</v>
      </c>
      <c r="D399" s="10">
        <v>125362.0</v>
      </c>
      <c r="E399" s="12">
        <f t="shared" si="41"/>
        <v>256.2</v>
      </c>
      <c r="F399" s="12">
        <f t="shared" si="42"/>
        <v>48.8</v>
      </c>
      <c r="G399" s="13">
        <v>305.0</v>
      </c>
    </row>
    <row r="400" ht="15.75" customHeight="1">
      <c r="A400" s="9">
        <v>45569.0</v>
      </c>
      <c r="B400" s="10" t="s">
        <v>9</v>
      </c>
      <c r="C400" s="10" t="s">
        <v>8</v>
      </c>
      <c r="D400" s="10">
        <v>125215.0</v>
      </c>
      <c r="E400" s="12">
        <f t="shared" si="41"/>
        <v>55.44</v>
      </c>
      <c r="F400" s="12">
        <f t="shared" si="42"/>
        <v>10.56</v>
      </c>
      <c r="G400" s="13">
        <v>66.0</v>
      </c>
    </row>
    <row r="401" ht="15.75" customHeight="1">
      <c r="A401" s="9">
        <v>45572.0</v>
      </c>
      <c r="B401" s="10" t="s">
        <v>24</v>
      </c>
      <c r="C401" s="10" t="s">
        <v>25</v>
      </c>
      <c r="D401" s="10" t="s">
        <v>158</v>
      </c>
      <c r="E401" s="12">
        <f t="shared" si="41"/>
        <v>97.0536</v>
      </c>
      <c r="F401" s="12">
        <f t="shared" si="42"/>
        <v>18.4864</v>
      </c>
      <c r="G401" s="13">
        <v>115.54</v>
      </c>
    </row>
    <row r="402" ht="15.75" customHeight="1">
      <c r="A402" s="9">
        <v>45572.0</v>
      </c>
      <c r="B402" s="10" t="s">
        <v>63</v>
      </c>
      <c r="C402" s="10" t="s">
        <v>8</v>
      </c>
      <c r="D402" s="10">
        <v>713131.0</v>
      </c>
      <c r="E402" s="12">
        <f t="shared" si="41"/>
        <v>163.8</v>
      </c>
      <c r="F402" s="12">
        <f t="shared" si="42"/>
        <v>31.2</v>
      </c>
      <c r="G402" s="13">
        <v>195.0</v>
      </c>
    </row>
    <row r="403" ht="15.75" customHeight="1">
      <c r="A403" s="9">
        <v>45572.0</v>
      </c>
      <c r="B403" s="10" t="s">
        <v>94</v>
      </c>
      <c r="C403" s="10" t="s">
        <v>25</v>
      </c>
      <c r="D403" s="10">
        <v>2758796.0</v>
      </c>
      <c r="E403" s="12">
        <f t="shared" si="41"/>
        <v>48.8796</v>
      </c>
      <c r="F403" s="12">
        <f t="shared" si="42"/>
        <v>9.3104</v>
      </c>
      <c r="G403" s="13">
        <v>58.19</v>
      </c>
    </row>
    <row r="404" ht="15.75" customHeight="1">
      <c r="A404" s="9">
        <v>45573.0</v>
      </c>
      <c r="B404" s="10" t="s">
        <v>7</v>
      </c>
      <c r="C404" s="10" t="s">
        <v>8</v>
      </c>
      <c r="D404" s="10">
        <v>15931.0</v>
      </c>
      <c r="E404" s="12">
        <f t="shared" si="41"/>
        <v>1461.6</v>
      </c>
      <c r="F404" s="12">
        <f t="shared" si="42"/>
        <v>278.4</v>
      </c>
      <c r="G404" s="13">
        <v>1740.0</v>
      </c>
    </row>
    <row r="405" ht="15.75" customHeight="1">
      <c r="A405" s="9">
        <v>45573.0</v>
      </c>
      <c r="B405" s="10" t="s">
        <v>24</v>
      </c>
      <c r="C405" s="10" t="s">
        <v>25</v>
      </c>
      <c r="D405" s="10" t="s">
        <v>159</v>
      </c>
      <c r="E405" s="12">
        <f t="shared" si="41"/>
        <v>133.0056</v>
      </c>
      <c r="F405" s="12">
        <f t="shared" si="42"/>
        <v>25.3344</v>
      </c>
      <c r="G405" s="13">
        <v>158.34</v>
      </c>
    </row>
    <row r="406" ht="15.75" customHeight="1">
      <c r="A406" s="9">
        <v>45574.0</v>
      </c>
      <c r="B406" s="10" t="s">
        <v>36</v>
      </c>
      <c r="C406" s="10" t="s">
        <v>25</v>
      </c>
      <c r="D406" s="10">
        <v>20986.0</v>
      </c>
      <c r="E406" s="12">
        <f t="shared" si="41"/>
        <v>52.878</v>
      </c>
      <c r="F406" s="12">
        <f t="shared" si="42"/>
        <v>10.072</v>
      </c>
      <c r="G406" s="13">
        <v>62.95</v>
      </c>
    </row>
    <row r="407" ht="15.75" customHeight="1">
      <c r="A407" s="9">
        <v>45574.0</v>
      </c>
      <c r="B407" s="10" t="s">
        <v>146</v>
      </c>
      <c r="C407" s="10" t="s">
        <v>8</v>
      </c>
      <c r="D407" s="10">
        <v>8783.0</v>
      </c>
      <c r="E407" s="12">
        <f t="shared" si="41"/>
        <v>1902.6588</v>
      </c>
      <c r="F407" s="12">
        <f t="shared" si="42"/>
        <v>362.4112</v>
      </c>
      <c r="G407" s="13">
        <v>2265.07</v>
      </c>
    </row>
    <row r="408" ht="15.75" customHeight="1">
      <c r="A408" s="9">
        <v>45575.0</v>
      </c>
      <c r="B408" s="10" t="s">
        <v>7</v>
      </c>
      <c r="C408" s="10" t="s">
        <v>8</v>
      </c>
      <c r="D408" s="10">
        <v>15956.0</v>
      </c>
      <c r="E408" s="12">
        <f t="shared" si="41"/>
        <v>1848</v>
      </c>
      <c r="F408" s="12">
        <f t="shared" si="42"/>
        <v>352</v>
      </c>
      <c r="G408" s="13">
        <v>2200.0</v>
      </c>
    </row>
    <row r="409" ht="15.75" customHeight="1">
      <c r="A409" s="9">
        <v>45577.0</v>
      </c>
      <c r="B409" s="10" t="s">
        <v>146</v>
      </c>
      <c r="C409" s="10" t="s">
        <v>8</v>
      </c>
      <c r="D409" s="10">
        <v>8867.0</v>
      </c>
      <c r="E409" s="12">
        <f t="shared" si="41"/>
        <v>3662.0892</v>
      </c>
      <c r="F409" s="12">
        <f t="shared" si="42"/>
        <v>697.5408</v>
      </c>
      <c r="G409" s="13">
        <v>4359.63</v>
      </c>
    </row>
    <row r="410" ht="15.75" customHeight="1">
      <c r="A410" s="9">
        <v>45579.0</v>
      </c>
      <c r="B410" s="10" t="s">
        <v>146</v>
      </c>
      <c r="C410" s="10" t="s">
        <v>8</v>
      </c>
      <c r="D410" s="10">
        <v>8884.0</v>
      </c>
      <c r="E410" s="12">
        <f t="shared" si="41"/>
        <v>883.6632</v>
      </c>
      <c r="F410" s="12">
        <f t="shared" si="42"/>
        <v>168.3168</v>
      </c>
      <c r="G410" s="13">
        <v>1051.98</v>
      </c>
    </row>
    <row r="411" ht="15.75" customHeight="1">
      <c r="A411" s="9">
        <v>45579.0</v>
      </c>
      <c r="B411" s="10" t="s">
        <v>138</v>
      </c>
      <c r="C411" s="10" t="s">
        <v>8</v>
      </c>
      <c r="D411" s="10">
        <v>78786.0</v>
      </c>
      <c r="E411" s="12">
        <f t="shared" si="41"/>
        <v>348.6</v>
      </c>
      <c r="F411" s="12">
        <f t="shared" si="42"/>
        <v>66.4</v>
      </c>
      <c r="G411" s="13">
        <v>415.0</v>
      </c>
    </row>
    <row r="412" ht="15.75" customHeight="1">
      <c r="A412" s="9">
        <v>45581.0</v>
      </c>
      <c r="B412" s="10" t="s">
        <v>160</v>
      </c>
      <c r="C412" s="10" t="s">
        <v>8</v>
      </c>
      <c r="D412" s="10" t="s">
        <v>161</v>
      </c>
      <c r="E412" s="12">
        <f t="shared" si="41"/>
        <v>50.4</v>
      </c>
      <c r="F412" s="12">
        <f t="shared" si="42"/>
        <v>9.6</v>
      </c>
      <c r="G412" s="13">
        <v>60.0</v>
      </c>
    </row>
    <row r="413" ht="15.75" customHeight="1">
      <c r="A413" s="9">
        <v>45583.0</v>
      </c>
      <c r="B413" s="10" t="s">
        <v>162</v>
      </c>
      <c r="C413" s="10" t="s">
        <v>8</v>
      </c>
      <c r="D413" s="10" t="s">
        <v>163</v>
      </c>
      <c r="E413" s="12">
        <f t="shared" si="41"/>
        <v>170.1336</v>
      </c>
      <c r="F413" s="12">
        <f t="shared" si="42"/>
        <v>32.4064</v>
      </c>
      <c r="G413" s="13">
        <v>202.54</v>
      </c>
    </row>
    <row r="414" ht="15.75" customHeight="1">
      <c r="A414" s="9">
        <v>45593.0</v>
      </c>
      <c r="B414" s="10" t="s">
        <v>146</v>
      </c>
      <c r="C414" s="10" t="s">
        <v>8</v>
      </c>
      <c r="D414" s="10">
        <v>9236.0</v>
      </c>
      <c r="E414" s="12">
        <f t="shared" si="41"/>
        <v>136.0464</v>
      </c>
      <c r="F414" s="12">
        <f t="shared" si="42"/>
        <v>25.9136</v>
      </c>
      <c r="G414" s="13">
        <v>161.96</v>
      </c>
    </row>
    <row r="415" ht="15.75" customHeight="1">
      <c r="A415" s="9">
        <v>45595.0</v>
      </c>
      <c r="B415" s="10" t="s">
        <v>62</v>
      </c>
      <c r="C415" s="10" t="s">
        <v>25</v>
      </c>
      <c r="D415" s="10">
        <v>93697.0</v>
      </c>
      <c r="E415" s="12">
        <f t="shared" si="41"/>
        <v>1480.458</v>
      </c>
      <c r="F415" s="12">
        <f t="shared" si="42"/>
        <v>281.992</v>
      </c>
      <c r="G415" s="13">
        <v>1762.45</v>
      </c>
    </row>
    <row r="416" ht="15.75" customHeight="1">
      <c r="A416" s="9">
        <v>45596.0</v>
      </c>
      <c r="B416" s="10" t="s">
        <v>118</v>
      </c>
      <c r="C416" s="10" t="s">
        <v>31</v>
      </c>
      <c r="D416" s="10">
        <v>2.3069244E7</v>
      </c>
      <c r="E416" s="12">
        <f t="shared" si="41"/>
        <v>46.2</v>
      </c>
      <c r="F416" s="12">
        <f t="shared" si="42"/>
        <v>8.8</v>
      </c>
      <c r="G416" s="13">
        <v>55.0</v>
      </c>
    </row>
    <row r="417" ht="15.75" customHeight="1">
      <c r="A417" s="9">
        <v>45596.0</v>
      </c>
      <c r="B417" s="10" t="s">
        <v>118</v>
      </c>
      <c r="C417" s="10" t="s">
        <v>31</v>
      </c>
      <c r="D417" s="10">
        <v>2.3069256E7</v>
      </c>
      <c r="E417" s="12">
        <f t="shared" si="41"/>
        <v>313.572</v>
      </c>
      <c r="F417" s="12">
        <f t="shared" si="42"/>
        <v>59.728</v>
      </c>
      <c r="G417" s="13">
        <v>373.3</v>
      </c>
    </row>
    <row r="418" ht="15.75" customHeight="1">
      <c r="A418" s="9">
        <v>45597.0</v>
      </c>
      <c r="B418" s="10" t="s">
        <v>9</v>
      </c>
      <c r="C418" s="10" t="s">
        <v>8</v>
      </c>
      <c r="D418" s="10">
        <v>58850.0</v>
      </c>
      <c r="E418" s="12">
        <f t="shared" si="41"/>
        <v>44.94</v>
      </c>
      <c r="F418" s="12">
        <f t="shared" si="42"/>
        <v>8.56</v>
      </c>
      <c r="G418" s="13">
        <v>53.5</v>
      </c>
    </row>
    <row r="419" ht="15.75" customHeight="1">
      <c r="A419" s="18"/>
    </row>
    <row r="420" ht="15.75" customHeight="1">
      <c r="A420" s="18"/>
    </row>
    <row r="421" ht="15.75" customHeight="1">
      <c r="A421" s="18"/>
    </row>
    <row r="422" ht="15.75" customHeight="1">
      <c r="A422" s="18"/>
    </row>
    <row r="423" ht="15.75" customHeight="1">
      <c r="A423" s="18"/>
    </row>
    <row r="424" ht="15.75" customHeight="1">
      <c r="A424" s="18"/>
    </row>
    <row r="425" ht="15.75" customHeight="1">
      <c r="A425" s="18"/>
    </row>
    <row r="426" ht="15.75" customHeight="1">
      <c r="A426" s="18"/>
    </row>
    <row r="427" ht="15.75" customHeight="1">
      <c r="A427" s="18"/>
    </row>
    <row r="428" ht="15.75" customHeight="1">
      <c r="A428" s="18"/>
    </row>
    <row r="429" ht="15.75" customHeight="1">
      <c r="A429" s="18"/>
    </row>
    <row r="430" ht="15.75" customHeight="1">
      <c r="A430" s="18"/>
    </row>
    <row r="431" ht="15.75" customHeight="1">
      <c r="A431" s="18"/>
    </row>
    <row r="432" ht="15.75" customHeight="1">
      <c r="A432" s="18"/>
    </row>
    <row r="433" ht="15.75" customHeight="1">
      <c r="A433" s="18"/>
    </row>
    <row r="434" ht="15.75" customHeight="1">
      <c r="A434" s="18"/>
    </row>
    <row r="435" ht="15.75" customHeight="1">
      <c r="A435" s="18"/>
    </row>
    <row r="436" ht="15.75" customHeight="1">
      <c r="A436" s="18"/>
    </row>
    <row r="437" ht="15.75" customHeight="1">
      <c r="A437" s="18"/>
    </row>
    <row r="438" ht="15.75" customHeight="1">
      <c r="A438" s="18"/>
    </row>
    <row r="439" ht="15.75" customHeight="1">
      <c r="A439" s="18"/>
    </row>
    <row r="440" ht="15.75" customHeight="1">
      <c r="A440" s="18"/>
    </row>
    <row r="441" ht="15.75" customHeight="1">
      <c r="A441" s="18"/>
    </row>
    <row r="442" ht="15.75" customHeight="1">
      <c r="A442" s="18"/>
    </row>
    <row r="443" ht="15.75" customHeight="1">
      <c r="A443" s="18"/>
    </row>
    <row r="444" ht="15.75" customHeight="1">
      <c r="A444" s="18"/>
    </row>
    <row r="445" ht="15.75" customHeight="1">
      <c r="A445" s="18"/>
    </row>
    <row r="446" ht="15.75" customHeight="1">
      <c r="A446" s="18"/>
    </row>
    <row r="447" ht="15.75" customHeight="1">
      <c r="A447" s="18"/>
    </row>
    <row r="448" ht="15.75" customHeight="1">
      <c r="A448" s="18"/>
    </row>
    <row r="449" ht="15.75" customHeight="1">
      <c r="A449" s="18"/>
    </row>
    <row r="450" ht="15.75" customHeight="1">
      <c r="A450" s="18"/>
    </row>
    <row r="451" ht="15.75" customHeight="1">
      <c r="A451" s="18"/>
    </row>
    <row r="452" ht="15.75" customHeight="1">
      <c r="A452" s="18"/>
    </row>
    <row r="453" ht="15.75" customHeight="1">
      <c r="A453" s="18"/>
    </row>
    <row r="454" ht="15.75" customHeight="1">
      <c r="A454" s="18"/>
    </row>
    <row r="455" ht="15.75" customHeight="1">
      <c r="A455" s="18"/>
    </row>
    <row r="456" ht="15.75" customHeight="1">
      <c r="A456" s="15"/>
      <c r="B456" s="11"/>
      <c r="C456" s="11"/>
      <c r="D456" s="11"/>
      <c r="G456" s="26"/>
    </row>
    <row r="457" ht="15.75" customHeight="1">
      <c r="A457" s="15"/>
      <c r="B457" s="11"/>
      <c r="C457" s="11"/>
      <c r="D457" s="11"/>
      <c r="G457" s="26"/>
    </row>
    <row r="458" ht="15.75" customHeight="1">
      <c r="A458" s="15"/>
      <c r="B458" s="11"/>
      <c r="C458" s="11"/>
      <c r="D458" s="11"/>
      <c r="G458" s="26"/>
    </row>
    <row r="459" ht="15.75" customHeight="1">
      <c r="A459" s="15"/>
      <c r="B459" s="11"/>
      <c r="C459" s="11"/>
      <c r="D459" s="11"/>
      <c r="G459" s="26"/>
    </row>
    <row r="460" ht="15.75" customHeight="1">
      <c r="A460" s="15"/>
      <c r="B460" s="11"/>
      <c r="C460" s="11"/>
      <c r="D460" s="11"/>
      <c r="G460" s="26"/>
    </row>
    <row r="461" ht="15.75" customHeight="1">
      <c r="A461" s="15"/>
      <c r="B461" s="11"/>
      <c r="C461" s="11"/>
      <c r="D461" s="11"/>
      <c r="G461" s="26"/>
    </row>
    <row r="462" ht="15.75" customHeight="1">
      <c r="A462" s="15"/>
      <c r="B462" s="11"/>
      <c r="C462" s="11"/>
      <c r="D462" s="11"/>
      <c r="G462" s="26"/>
    </row>
    <row r="463" ht="15.75" customHeight="1">
      <c r="A463" s="15"/>
      <c r="B463" s="11"/>
      <c r="C463" s="11"/>
      <c r="D463" s="11"/>
      <c r="G463" s="26"/>
    </row>
    <row r="464" ht="15.75" customHeight="1">
      <c r="A464" s="15"/>
      <c r="B464" s="11"/>
      <c r="C464" s="11"/>
      <c r="D464" s="11"/>
      <c r="G464" s="26"/>
    </row>
    <row r="465" ht="15.75" customHeight="1">
      <c r="A465" s="15"/>
      <c r="B465" s="11"/>
      <c r="C465" s="11"/>
      <c r="D465" s="11"/>
      <c r="G465" s="26"/>
    </row>
    <row r="466" ht="15.75" customHeight="1">
      <c r="A466" s="15"/>
      <c r="B466" s="11"/>
      <c r="C466" s="11"/>
      <c r="D466" s="11"/>
      <c r="G466" s="26"/>
    </row>
    <row r="467" ht="15.75" customHeight="1">
      <c r="A467" s="15"/>
      <c r="B467" s="11"/>
      <c r="C467" s="11"/>
      <c r="D467" s="11"/>
      <c r="G467" s="26"/>
    </row>
    <row r="468" ht="15.75" customHeight="1">
      <c r="A468" s="15"/>
      <c r="B468" s="11"/>
      <c r="C468" s="11"/>
      <c r="D468" s="11"/>
      <c r="G468" s="26"/>
    </row>
    <row r="469" ht="15.75" customHeight="1">
      <c r="A469" s="15"/>
      <c r="B469" s="11"/>
      <c r="C469" s="11"/>
      <c r="D469" s="11"/>
      <c r="G469" s="26"/>
    </row>
    <row r="470" ht="15.75" customHeight="1">
      <c r="A470" s="15"/>
      <c r="B470" s="11"/>
      <c r="C470" s="11"/>
      <c r="D470" s="11"/>
      <c r="G470" s="26"/>
    </row>
    <row r="471" ht="15.75" customHeight="1">
      <c r="A471" s="15"/>
      <c r="B471" s="11"/>
      <c r="C471" s="11"/>
      <c r="D471" s="11"/>
      <c r="G471" s="26"/>
    </row>
    <row r="472" ht="15.75" customHeight="1">
      <c r="A472" s="15"/>
      <c r="B472" s="11"/>
      <c r="C472" s="11"/>
      <c r="D472" s="11"/>
      <c r="G472" s="26"/>
    </row>
    <row r="473" ht="15.75" customHeight="1">
      <c r="A473" s="15"/>
      <c r="B473" s="11"/>
      <c r="C473" s="11"/>
      <c r="D473" s="11"/>
      <c r="G473" s="26"/>
    </row>
    <row r="474" ht="15.75" customHeight="1">
      <c r="A474" s="15"/>
      <c r="B474" s="11"/>
      <c r="C474" s="11"/>
      <c r="D474" s="11"/>
      <c r="G474" s="26"/>
    </row>
    <row r="475" ht="15.75" customHeight="1">
      <c r="A475" s="15"/>
      <c r="B475" s="11"/>
      <c r="C475" s="11"/>
      <c r="D475" s="11"/>
      <c r="G475" s="26"/>
    </row>
    <row r="476" ht="15.75" customHeight="1">
      <c r="A476" s="15"/>
      <c r="B476" s="11"/>
      <c r="C476" s="11"/>
      <c r="D476" s="11"/>
      <c r="G476" s="26"/>
    </row>
    <row r="477" ht="15.75" customHeight="1">
      <c r="A477" s="15"/>
      <c r="B477" s="11"/>
      <c r="C477" s="11"/>
      <c r="D477" s="11"/>
      <c r="G477" s="26"/>
    </row>
    <row r="478" ht="15.75" customHeight="1">
      <c r="A478" s="15"/>
      <c r="B478" s="11"/>
      <c r="C478" s="11"/>
      <c r="D478" s="11"/>
      <c r="G478" s="26"/>
    </row>
    <row r="479" ht="15.75" customHeight="1">
      <c r="A479" s="15"/>
      <c r="B479" s="11"/>
      <c r="C479" s="11"/>
      <c r="D479" s="11"/>
      <c r="G479" s="26"/>
    </row>
    <row r="480" ht="15.75" customHeight="1">
      <c r="A480" s="15"/>
      <c r="B480" s="11"/>
      <c r="C480" s="11"/>
      <c r="D480" s="11"/>
      <c r="G480" s="26"/>
    </row>
    <row r="481" ht="15.75" customHeight="1">
      <c r="A481" s="15"/>
      <c r="B481" s="11"/>
      <c r="C481" s="11"/>
      <c r="D481" s="11"/>
      <c r="G481" s="26"/>
    </row>
    <row r="482" ht="15.75" customHeight="1">
      <c r="A482" s="15"/>
      <c r="B482" s="11"/>
      <c r="C482" s="11"/>
      <c r="D482" s="11"/>
      <c r="G482" s="26"/>
    </row>
    <row r="483" ht="15.75" customHeight="1">
      <c r="A483" s="15"/>
      <c r="B483" s="11"/>
      <c r="C483" s="11"/>
      <c r="D483" s="11"/>
      <c r="G483" s="26"/>
    </row>
    <row r="484" ht="15.75" customHeight="1">
      <c r="A484" s="15"/>
      <c r="B484" s="11"/>
      <c r="C484" s="11"/>
      <c r="D484" s="11"/>
      <c r="G484" s="26"/>
    </row>
    <row r="485" ht="15.75" customHeight="1">
      <c r="A485" s="15"/>
      <c r="B485" s="11"/>
      <c r="C485" s="11"/>
      <c r="D485" s="11"/>
      <c r="G485" s="26"/>
    </row>
    <row r="486" ht="15.75" customHeight="1">
      <c r="A486" s="15"/>
      <c r="B486" s="11"/>
      <c r="C486" s="11"/>
      <c r="D486" s="11"/>
      <c r="G486" s="26"/>
    </row>
    <row r="487" ht="15.75" customHeight="1">
      <c r="A487" s="15"/>
      <c r="B487" s="11"/>
      <c r="C487" s="11"/>
      <c r="D487" s="11"/>
      <c r="G487" s="26"/>
    </row>
    <row r="488" ht="15.75" customHeight="1">
      <c r="A488" s="15"/>
      <c r="B488" s="11"/>
      <c r="C488" s="11"/>
      <c r="D488" s="11"/>
      <c r="G488" s="26"/>
    </row>
    <row r="489" ht="15.75" customHeight="1">
      <c r="A489" s="15"/>
      <c r="B489" s="11"/>
      <c r="C489" s="11"/>
      <c r="D489" s="11"/>
      <c r="G489" s="26"/>
    </row>
    <row r="490" ht="15.75" customHeight="1">
      <c r="A490" s="15"/>
      <c r="B490" s="11"/>
      <c r="C490" s="11"/>
      <c r="D490" s="11"/>
      <c r="G490" s="26"/>
    </row>
    <row r="491" ht="15.75" customHeight="1">
      <c r="A491" s="15"/>
      <c r="B491" s="11"/>
      <c r="C491" s="11"/>
      <c r="D491" s="11"/>
      <c r="G491" s="26"/>
    </row>
    <row r="492" ht="15.75" customHeight="1">
      <c r="A492" s="15"/>
      <c r="B492" s="11"/>
      <c r="C492" s="11"/>
      <c r="D492" s="11"/>
      <c r="G492" s="26"/>
    </row>
    <row r="493" ht="15.75" customHeight="1">
      <c r="A493" s="15"/>
      <c r="B493" s="11"/>
      <c r="C493" s="11"/>
      <c r="D493" s="11"/>
      <c r="G493" s="26"/>
    </row>
    <row r="494" ht="15.75" customHeight="1">
      <c r="A494" s="15"/>
      <c r="B494" s="11"/>
      <c r="C494" s="11"/>
      <c r="D494" s="11"/>
      <c r="G494" s="26"/>
    </row>
    <row r="495" ht="15.75" customHeight="1">
      <c r="A495" s="15"/>
      <c r="B495" s="11"/>
      <c r="C495" s="11"/>
      <c r="D495" s="11"/>
      <c r="G495" s="26"/>
    </row>
    <row r="496" ht="15.75" customHeight="1">
      <c r="A496" s="15"/>
      <c r="B496" s="11"/>
      <c r="C496" s="11"/>
      <c r="D496" s="11"/>
      <c r="G496" s="26"/>
    </row>
    <row r="497" ht="15.75" customHeight="1">
      <c r="A497" s="15"/>
      <c r="B497" s="11"/>
      <c r="C497" s="11"/>
      <c r="D497" s="11"/>
      <c r="G497" s="26"/>
    </row>
    <row r="498" ht="15.75" customHeight="1">
      <c r="A498" s="15"/>
      <c r="B498" s="11"/>
      <c r="C498" s="11"/>
      <c r="D498" s="11"/>
      <c r="G498" s="26"/>
    </row>
    <row r="499" ht="15.75" customHeight="1">
      <c r="A499" s="15"/>
      <c r="B499" s="11"/>
      <c r="C499" s="11"/>
      <c r="D499" s="11"/>
      <c r="G499" s="26"/>
    </row>
    <row r="500" ht="15.75" customHeight="1">
      <c r="A500" s="15"/>
      <c r="B500" s="11"/>
      <c r="C500" s="11"/>
      <c r="D500" s="11"/>
      <c r="G500" s="26"/>
    </row>
    <row r="501" ht="15.75" customHeight="1">
      <c r="A501" s="15"/>
      <c r="B501" s="11"/>
      <c r="C501" s="11"/>
      <c r="D501" s="11"/>
      <c r="G501" s="26"/>
    </row>
    <row r="502" ht="15.75" customHeight="1">
      <c r="A502" s="15"/>
      <c r="B502" s="11"/>
      <c r="C502" s="11"/>
      <c r="D502" s="11"/>
      <c r="G502" s="26"/>
    </row>
    <row r="503" ht="15.75" customHeight="1">
      <c r="A503" s="15"/>
      <c r="B503" s="11"/>
      <c r="C503" s="11"/>
      <c r="D503" s="11"/>
      <c r="G503" s="26"/>
    </row>
    <row r="504" ht="15.75" customHeight="1">
      <c r="A504" s="15"/>
      <c r="B504" s="11"/>
      <c r="C504" s="11"/>
      <c r="D504" s="11"/>
      <c r="G504" s="26"/>
    </row>
    <row r="505" ht="15.75" customHeight="1">
      <c r="A505" s="15"/>
      <c r="B505" s="11"/>
      <c r="C505" s="11"/>
      <c r="D505" s="11"/>
      <c r="G505" s="26"/>
    </row>
    <row r="506" ht="15.75" customHeight="1">
      <c r="A506" s="15"/>
      <c r="B506" s="11"/>
      <c r="C506" s="11"/>
      <c r="D506" s="11"/>
      <c r="G506" s="26"/>
    </row>
    <row r="507" ht="15.75" customHeight="1">
      <c r="A507" s="15"/>
      <c r="B507" s="11"/>
      <c r="C507" s="11"/>
      <c r="D507" s="11"/>
      <c r="G507" s="26"/>
    </row>
    <row r="508" ht="15.75" customHeight="1">
      <c r="A508" s="15"/>
      <c r="B508" s="11"/>
      <c r="C508" s="11"/>
      <c r="D508" s="11"/>
      <c r="G508" s="26"/>
    </row>
    <row r="509" ht="15.75" customHeight="1">
      <c r="A509" s="15"/>
      <c r="B509" s="11"/>
      <c r="C509" s="11"/>
      <c r="D509" s="11"/>
      <c r="G509" s="26"/>
    </row>
    <row r="510" ht="15.75" customHeight="1">
      <c r="A510" s="15"/>
      <c r="B510" s="11"/>
      <c r="C510" s="11"/>
      <c r="D510" s="11"/>
      <c r="G510" s="26"/>
    </row>
    <row r="511" ht="15.75" customHeight="1">
      <c r="A511" s="15"/>
      <c r="B511" s="11"/>
      <c r="C511" s="11"/>
      <c r="D511" s="11"/>
      <c r="G511" s="26"/>
    </row>
    <row r="512" ht="15.75" customHeight="1">
      <c r="A512" s="15"/>
      <c r="B512" s="11"/>
      <c r="C512" s="11"/>
      <c r="D512" s="11"/>
      <c r="G512" s="26"/>
    </row>
    <row r="513" ht="15.75" customHeight="1">
      <c r="A513" s="15"/>
      <c r="B513" s="11"/>
      <c r="C513" s="11"/>
      <c r="D513" s="11"/>
      <c r="G513" s="26"/>
    </row>
    <row r="514" ht="15.75" customHeight="1">
      <c r="A514" s="15"/>
      <c r="B514" s="11"/>
      <c r="C514" s="11"/>
      <c r="D514" s="11"/>
      <c r="G514" s="26"/>
    </row>
    <row r="515" ht="15.75" customHeight="1">
      <c r="A515" s="15"/>
      <c r="B515" s="11"/>
      <c r="C515" s="11"/>
      <c r="D515" s="11"/>
      <c r="G515" s="26"/>
    </row>
    <row r="516" ht="15.75" customHeight="1">
      <c r="A516" s="15"/>
      <c r="B516" s="11"/>
      <c r="C516" s="11"/>
      <c r="D516" s="11"/>
      <c r="G516" s="26"/>
    </row>
    <row r="517" ht="15.75" customHeight="1">
      <c r="A517" s="15"/>
      <c r="B517" s="11"/>
      <c r="C517" s="11"/>
      <c r="D517" s="11"/>
      <c r="G517" s="26"/>
    </row>
    <row r="518" ht="15.75" customHeight="1">
      <c r="A518" s="15"/>
      <c r="B518" s="11"/>
      <c r="C518" s="11"/>
      <c r="D518" s="11"/>
      <c r="G518" s="26"/>
    </row>
    <row r="519" ht="15.75" customHeight="1">
      <c r="A519" s="15"/>
      <c r="B519" s="11"/>
      <c r="C519" s="11"/>
      <c r="D519" s="11"/>
      <c r="G519" s="26"/>
    </row>
    <row r="520" ht="15.75" customHeight="1">
      <c r="A520" s="15"/>
      <c r="B520" s="11"/>
      <c r="C520" s="11"/>
      <c r="D520" s="11"/>
      <c r="G520" s="26"/>
    </row>
    <row r="521" ht="15.75" customHeight="1">
      <c r="A521" s="15"/>
      <c r="B521" s="11"/>
      <c r="C521" s="11"/>
      <c r="D521" s="11"/>
      <c r="G521" s="26"/>
    </row>
    <row r="522" ht="15.75" customHeight="1">
      <c r="A522" s="15"/>
      <c r="B522" s="11"/>
      <c r="C522" s="11"/>
      <c r="D522" s="11"/>
      <c r="G522" s="26"/>
    </row>
    <row r="523" ht="15.75" customHeight="1">
      <c r="A523" s="15"/>
      <c r="B523" s="11"/>
      <c r="C523" s="11"/>
      <c r="D523" s="11"/>
      <c r="G523" s="26"/>
    </row>
    <row r="524" ht="15.75" customHeight="1">
      <c r="A524" s="15"/>
      <c r="B524" s="11"/>
      <c r="C524" s="11"/>
      <c r="D524" s="11"/>
      <c r="G524" s="26"/>
    </row>
    <row r="525" ht="15.75" customHeight="1">
      <c r="A525" s="15"/>
      <c r="B525" s="11"/>
      <c r="C525" s="11"/>
      <c r="D525" s="11"/>
      <c r="G525" s="26"/>
    </row>
    <row r="526" ht="15.75" customHeight="1">
      <c r="A526" s="15"/>
      <c r="B526" s="11"/>
      <c r="C526" s="11"/>
      <c r="D526" s="11"/>
      <c r="G526" s="26"/>
    </row>
    <row r="527" ht="15.75" customHeight="1">
      <c r="A527" s="15"/>
      <c r="B527" s="11"/>
      <c r="C527" s="11"/>
      <c r="D527" s="11"/>
      <c r="G527" s="26"/>
    </row>
    <row r="528" ht="15.75" customHeight="1">
      <c r="A528" s="15"/>
      <c r="B528" s="11"/>
      <c r="C528" s="11"/>
      <c r="D528" s="11"/>
      <c r="G528" s="26"/>
    </row>
    <row r="529" ht="15.75" customHeight="1">
      <c r="A529" s="15"/>
      <c r="B529" s="11"/>
      <c r="C529" s="11"/>
      <c r="D529" s="11"/>
      <c r="G529" s="26"/>
    </row>
    <row r="530" ht="15.75" customHeight="1">
      <c r="A530" s="15"/>
      <c r="B530" s="11"/>
      <c r="C530" s="11"/>
      <c r="D530" s="11"/>
      <c r="G530" s="26"/>
    </row>
    <row r="531" ht="15.75" customHeight="1">
      <c r="A531" s="15"/>
      <c r="B531" s="11"/>
      <c r="C531" s="11"/>
      <c r="D531" s="11"/>
      <c r="G531" s="26"/>
    </row>
    <row r="532" ht="15.75" customHeight="1">
      <c r="A532" s="15"/>
      <c r="B532" s="11"/>
      <c r="C532" s="11"/>
      <c r="D532" s="11"/>
      <c r="G532" s="26"/>
    </row>
    <row r="533" ht="15.75" customHeight="1">
      <c r="A533" s="15"/>
      <c r="B533" s="11"/>
      <c r="C533" s="11"/>
      <c r="D533" s="11"/>
      <c r="G533" s="26"/>
    </row>
    <row r="534" ht="15.75" customHeight="1">
      <c r="A534" s="15"/>
      <c r="B534" s="11"/>
      <c r="C534" s="11"/>
      <c r="D534" s="11"/>
      <c r="G534" s="26"/>
    </row>
    <row r="535" ht="15.75" customHeight="1">
      <c r="A535" s="15"/>
      <c r="B535" s="11"/>
      <c r="C535" s="11"/>
      <c r="D535" s="11"/>
      <c r="G535" s="26"/>
    </row>
    <row r="536" ht="15.75" customHeight="1">
      <c r="A536" s="15"/>
      <c r="B536" s="11"/>
      <c r="C536" s="11"/>
      <c r="D536" s="11"/>
      <c r="G536" s="26"/>
    </row>
    <row r="537" ht="15.75" customHeight="1">
      <c r="A537" s="15"/>
      <c r="B537" s="11"/>
      <c r="C537" s="11"/>
      <c r="D537" s="11"/>
      <c r="G537" s="26"/>
    </row>
    <row r="538" ht="15.75" customHeight="1">
      <c r="A538" s="15"/>
      <c r="B538" s="11"/>
      <c r="C538" s="11"/>
      <c r="D538" s="11"/>
      <c r="G538" s="26"/>
    </row>
    <row r="539" ht="15.75" customHeight="1">
      <c r="A539" s="15"/>
      <c r="B539" s="11"/>
      <c r="C539" s="11"/>
      <c r="D539" s="11"/>
      <c r="G539" s="26"/>
    </row>
    <row r="540" ht="15.75" customHeight="1">
      <c r="A540" s="15"/>
      <c r="B540" s="11"/>
      <c r="C540" s="11"/>
      <c r="D540" s="11"/>
      <c r="G540" s="26"/>
    </row>
    <row r="541" ht="15.75" customHeight="1">
      <c r="A541" s="15"/>
      <c r="B541" s="11"/>
      <c r="C541" s="11"/>
      <c r="D541" s="11"/>
      <c r="G541" s="26"/>
    </row>
    <row r="542" ht="15.75" customHeight="1">
      <c r="A542" s="15"/>
      <c r="B542" s="11"/>
      <c r="C542" s="11"/>
      <c r="D542" s="11"/>
      <c r="G542" s="26"/>
    </row>
    <row r="543" ht="15.75" customHeight="1">
      <c r="A543" s="15"/>
      <c r="B543" s="11"/>
      <c r="C543" s="11"/>
      <c r="D543" s="11"/>
      <c r="G543" s="26"/>
    </row>
    <row r="544" ht="15.75" customHeight="1">
      <c r="A544" s="15"/>
      <c r="B544" s="11"/>
      <c r="C544" s="11"/>
      <c r="D544" s="11"/>
      <c r="G544" s="26"/>
    </row>
    <row r="545" ht="15.75" customHeight="1">
      <c r="A545" s="15"/>
      <c r="B545" s="11"/>
      <c r="C545" s="11"/>
      <c r="D545" s="11"/>
      <c r="G545" s="26"/>
    </row>
    <row r="546" ht="15.75" customHeight="1">
      <c r="A546" s="15"/>
      <c r="B546" s="11"/>
      <c r="C546" s="11"/>
      <c r="D546" s="11"/>
      <c r="G546" s="26"/>
    </row>
    <row r="547" ht="15.75" customHeight="1">
      <c r="A547" s="15"/>
      <c r="B547" s="11"/>
      <c r="C547" s="11"/>
      <c r="D547" s="11"/>
      <c r="G547" s="26"/>
    </row>
    <row r="548" ht="15.75" customHeight="1">
      <c r="A548" s="15"/>
      <c r="B548" s="11"/>
      <c r="C548" s="11"/>
      <c r="D548" s="11"/>
      <c r="G548" s="26"/>
    </row>
    <row r="549" ht="15.75" customHeight="1">
      <c r="A549" s="15"/>
      <c r="B549" s="11"/>
      <c r="C549" s="11"/>
      <c r="D549" s="11"/>
      <c r="G549" s="26"/>
    </row>
    <row r="550" ht="15.75" customHeight="1">
      <c r="A550" s="15"/>
      <c r="B550" s="11"/>
      <c r="C550" s="11"/>
      <c r="D550" s="11"/>
      <c r="G550" s="26"/>
    </row>
    <row r="551" ht="15.75" customHeight="1">
      <c r="A551" s="15"/>
      <c r="B551" s="11"/>
      <c r="C551" s="11"/>
      <c r="D551" s="11"/>
      <c r="G551" s="26"/>
    </row>
    <row r="552" ht="15.75" customHeight="1">
      <c r="A552" s="15"/>
      <c r="B552" s="11"/>
      <c r="C552" s="11"/>
      <c r="D552" s="11"/>
      <c r="G552" s="26"/>
    </row>
    <row r="553" ht="15.75" customHeight="1">
      <c r="A553" s="15"/>
      <c r="B553" s="11"/>
      <c r="C553" s="11"/>
      <c r="D553" s="11"/>
      <c r="G553" s="26"/>
    </row>
    <row r="554" ht="15.75" customHeight="1">
      <c r="A554" s="15"/>
      <c r="B554" s="11"/>
      <c r="C554" s="11"/>
      <c r="D554" s="11"/>
      <c r="G554" s="26"/>
    </row>
    <row r="555" ht="15.75" customHeight="1">
      <c r="A555" s="15"/>
      <c r="B555" s="11"/>
      <c r="C555" s="11"/>
      <c r="D555" s="11"/>
      <c r="G555" s="26"/>
    </row>
    <row r="556" ht="15.75" customHeight="1">
      <c r="A556" s="15"/>
      <c r="B556" s="11"/>
      <c r="C556" s="11"/>
      <c r="D556" s="11"/>
      <c r="G556" s="26"/>
    </row>
    <row r="557" ht="15.75" customHeight="1">
      <c r="A557" s="15"/>
      <c r="B557" s="11"/>
      <c r="C557" s="11"/>
      <c r="D557" s="11"/>
      <c r="G557" s="26"/>
    </row>
    <row r="558" ht="15.75" customHeight="1">
      <c r="A558" s="15"/>
      <c r="B558" s="11"/>
      <c r="C558" s="11"/>
      <c r="D558" s="11"/>
      <c r="G558" s="26"/>
    </row>
    <row r="559" ht="15.75" customHeight="1">
      <c r="A559" s="15"/>
      <c r="B559" s="11"/>
      <c r="C559" s="11"/>
      <c r="D559" s="11"/>
      <c r="G559" s="26"/>
    </row>
    <row r="560" ht="15.75" customHeight="1">
      <c r="A560" s="15"/>
      <c r="B560" s="11"/>
      <c r="C560" s="11"/>
      <c r="D560" s="11"/>
      <c r="G560" s="26"/>
    </row>
    <row r="561" ht="15.75" customHeight="1">
      <c r="A561" s="15"/>
      <c r="B561" s="11"/>
      <c r="C561" s="11"/>
      <c r="D561" s="11"/>
      <c r="G561" s="26"/>
    </row>
    <row r="562" ht="15.75" customHeight="1">
      <c r="A562" s="15"/>
      <c r="B562" s="11"/>
      <c r="C562" s="11"/>
      <c r="D562" s="11"/>
      <c r="G562" s="26"/>
    </row>
    <row r="563" ht="15.75" customHeight="1">
      <c r="A563" s="15"/>
      <c r="B563" s="11"/>
      <c r="C563" s="11"/>
      <c r="D563" s="11"/>
      <c r="G563" s="26"/>
    </row>
    <row r="564" ht="15.75" customHeight="1">
      <c r="A564" s="15"/>
      <c r="B564" s="11"/>
      <c r="C564" s="11"/>
      <c r="D564" s="11"/>
      <c r="G564" s="26"/>
    </row>
    <row r="565" ht="15.75" customHeight="1">
      <c r="A565" s="15"/>
      <c r="B565" s="11"/>
      <c r="C565" s="11"/>
      <c r="D565" s="11"/>
      <c r="G565" s="26"/>
    </row>
    <row r="566" ht="15.75" customHeight="1">
      <c r="A566" s="15"/>
      <c r="B566" s="11"/>
      <c r="C566" s="11"/>
      <c r="D566" s="11"/>
      <c r="G566" s="26"/>
    </row>
    <row r="567" ht="15.75" customHeight="1">
      <c r="A567" s="15"/>
      <c r="B567" s="11"/>
      <c r="C567" s="11"/>
      <c r="D567" s="11"/>
      <c r="G567" s="26"/>
    </row>
    <row r="568" ht="15.75" customHeight="1">
      <c r="A568" s="15"/>
      <c r="B568" s="11"/>
      <c r="C568" s="11"/>
      <c r="D568" s="11"/>
      <c r="G568" s="26"/>
    </row>
    <row r="569" ht="15.75" customHeight="1">
      <c r="A569" s="15"/>
      <c r="B569" s="11"/>
      <c r="C569" s="11"/>
      <c r="D569" s="11"/>
      <c r="G569" s="26"/>
    </row>
    <row r="570" ht="15.75" customHeight="1">
      <c r="A570" s="15"/>
      <c r="B570" s="11"/>
      <c r="C570" s="11"/>
      <c r="D570" s="11"/>
      <c r="G570" s="26"/>
    </row>
    <row r="571" ht="15.75" customHeight="1">
      <c r="A571" s="15"/>
      <c r="B571" s="11"/>
      <c r="C571" s="11"/>
      <c r="D571" s="11"/>
      <c r="G571" s="26"/>
    </row>
    <row r="572" ht="15.75" customHeight="1">
      <c r="A572" s="15"/>
      <c r="B572" s="11"/>
      <c r="C572" s="11"/>
      <c r="D572" s="11"/>
      <c r="G572" s="26"/>
    </row>
    <row r="573" ht="15.75" customHeight="1">
      <c r="A573" s="15"/>
      <c r="B573" s="11"/>
      <c r="C573" s="11"/>
      <c r="D573" s="11"/>
      <c r="G573" s="26"/>
    </row>
    <row r="574" ht="15.75" customHeight="1">
      <c r="A574" s="15"/>
      <c r="B574" s="11"/>
      <c r="C574" s="11"/>
      <c r="D574" s="11"/>
      <c r="G574" s="26"/>
    </row>
    <row r="575" ht="15.75" customHeight="1">
      <c r="A575" s="15"/>
      <c r="B575" s="11"/>
      <c r="C575" s="11"/>
      <c r="D575" s="11"/>
      <c r="G575" s="26"/>
    </row>
    <row r="576" ht="15.75" customHeight="1">
      <c r="A576" s="15"/>
      <c r="B576" s="11"/>
      <c r="C576" s="11"/>
      <c r="D576" s="11"/>
      <c r="G576" s="26"/>
    </row>
    <row r="577" ht="15.75" customHeight="1">
      <c r="A577" s="15"/>
      <c r="B577" s="11"/>
      <c r="C577" s="11"/>
      <c r="D577" s="11"/>
      <c r="G577" s="26"/>
    </row>
    <row r="578" ht="15.75" customHeight="1">
      <c r="A578" s="15"/>
      <c r="B578" s="11"/>
      <c r="C578" s="11"/>
      <c r="D578" s="11"/>
      <c r="G578" s="26"/>
    </row>
    <row r="579" ht="15.75" customHeight="1">
      <c r="A579" s="15"/>
      <c r="B579" s="11"/>
      <c r="C579" s="11"/>
      <c r="D579" s="11"/>
      <c r="G579" s="26"/>
    </row>
    <row r="580" ht="15.75" customHeight="1">
      <c r="A580" s="15"/>
      <c r="B580" s="11"/>
      <c r="C580" s="11"/>
      <c r="D580" s="11"/>
      <c r="G580" s="26"/>
    </row>
    <row r="581" ht="15.75" customHeight="1">
      <c r="A581" s="15"/>
      <c r="B581" s="11"/>
      <c r="C581" s="11"/>
      <c r="D581" s="11"/>
      <c r="G581" s="26"/>
    </row>
    <row r="582" ht="15.75" customHeight="1">
      <c r="A582" s="15"/>
      <c r="B582" s="11"/>
      <c r="C582" s="11"/>
      <c r="D582" s="11"/>
      <c r="G582" s="26"/>
    </row>
    <row r="583" ht="15.75" customHeight="1">
      <c r="A583" s="15"/>
      <c r="B583" s="11"/>
      <c r="C583" s="11"/>
      <c r="D583" s="11"/>
      <c r="G583" s="26"/>
    </row>
    <row r="584" ht="15.75" customHeight="1">
      <c r="A584" s="15"/>
      <c r="B584" s="11"/>
      <c r="C584" s="11"/>
      <c r="D584" s="11"/>
      <c r="G584" s="26"/>
    </row>
    <row r="585" ht="15.75" customHeight="1">
      <c r="A585" s="15"/>
      <c r="B585" s="11"/>
      <c r="C585" s="11"/>
      <c r="D585" s="11"/>
      <c r="G585" s="26"/>
    </row>
    <row r="586" ht="15.75" customHeight="1">
      <c r="A586" s="15"/>
      <c r="B586" s="11"/>
      <c r="C586" s="11"/>
      <c r="D586" s="11"/>
      <c r="G586" s="26"/>
    </row>
    <row r="587" ht="15.75" customHeight="1">
      <c r="A587" s="15"/>
      <c r="B587" s="11"/>
      <c r="C587" s="11"/>
      <c r="D587" s="11"/>
      <c r="G587" s="26"/>
    </row>
    <row r="588" ht="15.75" customHeight="1">
      <c r="A588" s="15"/>
      <c r="B588" s="11"/>
      <c r="C588" s="11"/>
      <c r="D588" s="11"/>
      <c r="G588" s="26"/>
    </row>
    <row r="589" ht="15.75" customHeight="1">
      <c r="A589" s="15"/>
      <c r="B589" s="11"/>
      <c r="C589" s="11"/>
      <c r="D589" s="11"/>
      <c r="G589" s="26"/>
    </row>
    <row r="590" ht="15.75" customHeight="1">
      <c r="A590" s="15"/>
      <c r="B590" s="11"/>
      <c r="C590" s="11"/>
      <c r="D590" s="11"/>
      <c r="G590" s="26"/>
    </row>
    <row r="591" ht="15.75" customHeight="1">
      <c r="A591" s="15"/>
      <c r="B591" s="11"/>
      <c r="C591" s="11"/>
      <c r="D591" s="11"/>
      <c r="G591" s="26"/>
    </row>
    <row r="592" ht="15.75" customHeight="1">
      <c r="A592" s="15"/>
      <c r="B592" s="11"/>
      <c r="C592" s="11"/>
      <c r="D592" s="11"/>
      <c r="G592" s="26"/>
    </row>
    <row r="593" ht="15.75" customHeight="1">
      <c r="A593" s="15"/>
      <c r="B593" s="11"/>
      <c r="C593" s="11"/>
      <c r="D593" s="11"/>
      <c r="G593" s="26"/>
    </row>
    <row r="594" ht="15.75" customHeight="1">
      <c r="A594" s="15"/>
      <c r="B594" s="11"/>
      <c r="C594" s="11"/>
      <c r="D594" s="11"/>
      <c r="G594" s="26"/>
    </row>
    <row r="595" ht="15.75" customHeight="1">
      <c r="A595" s="15"/>
      <c r="B595" s="11"/>
      <c r="C595" s="11"/>
      <c r="D595" s="11"/>
      <c r="G595" s="26"/>
    </row>
    <row r="596" ht="15.75" customHeight="1">
      <c r="A596" s="15"/>
      <c r="B596" s="11"/>
      <c r="C596" s="11"/>
      <c r="D596" s="11"/>
      <c r="G596" s="26"/>
    </row>
    <row r="597" ht="15.75" customHeight="1">
      <c r="A597" s="15"/>
      <c r="B597" s="11"/>
      <c r="C597" s="11"/>
      <c r="D597" s="11"/>
      <c r="G597" s="26"/>
    </row>
    <row r="598" ht="15.75" customHeight="1">
      <c r="A598" s="15"/>
      <c r="B598" s="11"/>
      <c r="C598" s="11"/>
      <c r="D598" s="11"/>
      <c r="G598" s="26"/>
    </row>
    <row r="599" ht="15.75" customHeight="1">
      <c r="A599" s="15"/>
      <c r="B599" s="11"/>
      <c r="C599" s="11"/>
      <c r="D599" s="11"/>
      <c r="G599" s="26"/>
    </row>
    <row r="600" ht="15.75" customHeight="1">
      <c r="A600" s="15"/>
      <c r="B600" s="11"/>
      <c r="C600" s="11"/>
      <c r="D600" s="11"/>
      <c r="G600" s="26"/>
    </row>
    <row r="601" ht="15.75" customHeight="1">
      <c r="A601" s="15"/>
      <c r="B601" s="11"/>
      <c r="C601" s="11"/>
      <c r="D601" s="11"/>
      <c r="G601" s="26"/>
    </row>
    <row r="602" ht="15.75" customHeight="1">
      <c r="A602" s="15"/>
      <c r="B602" s="11"/>
      <c r="C602" s="11"/>
      <c r="D602" s="11"/>
      <c r="G602" s="26"/>
    </row>
    <row r="603" ht="15.75" customHeight="1">
      <c r="A603" s="15"/>
      <c r="B603" s="11"/>
      <c r="C603" s="11"/>
      <c r="D603" s="11"/>
      <c r="G603" s="26"/>
    </row>
    <row r="604" ht="15.75" customHeight="1">
      <c r="A604" s="15"/>
      <c r="B604" s="11"/>
      <c r="C604" s="11"/>
      <c r="D604" s="11"/>
      <c r="G604" s="26"/>
    </row>
    <row r="605" ht="15.75" customHeight="1">
      <c r="A605" s="15"/>
      <c r="B605" s="11"/>
      <c r="C605" s="11"/>
      <c r="D605" s="11"/>
      <c r="G605" s="26"/>
    </row>
    <row r="606" ht="15.75" customHeight="1">
      <c r="A606" s="15"/>
      <c r="B606" s="11"/>
      <c r="C606" s="11"/>
      <c r="D606" s="11"/>
      <c r="G606" s="26"/>
    </row>
    <row r="607" ht="15.75" customHeight="1">
      <c r="A607" s="15"/>
      <c r="B607" s="11"/>
      <c r="C607" s="11"/>
      <c r="D607" s="11"/>
      <c r="G607" s="26"/>
    </row>
    <row r="608" ht="15.75" customHeight="1">
      <c r="A608" s="15"/>
      <c r="B608" s="11"/>
      <c r="C608" s="11"/>
      <c r="D608" s="11"/>
      <c r="G608" s="26"/>
    </row>
    <row r="609" ht="15.75" customHeight="1">
      <c r="A609" s="15"/>
      <c r="B609" s="11"/>
      <c r="C609" s="11"/>
      <c r="D609" s="11"/>
      <c r="G609" s="26"/>
    </row>
    <row r="610" ht="15.75" customHeight="1">
      <c r="A610" s="15"/>
      <c r="B610" s="11"/>
      <c r="C610" s="11"/>
      <c r="D610" s="11"/>
      <c r="G610" s="26"/>
    </row>
    <row r="611" ht="15.75" customHeight="1">
      <c r="A611" s="15"/>
      <c r="B611" s="11"/>
      <c r="C611" s="11"/>
      <c r="D611" s="11"/>
      <c r="G611" s="26"/>
    </row>
    <row r="612" ht="15.75" customHeight="1">
      <c r="A612" s="15"/>
      <c r="B612" s="11"/>
      <c r="C612" s="11"/>
      <c r="D612" s="11"/>
      <c r="G612" s="26"/>
    </row>
    <row r="613" ht="15.75" customHeight="1">
      <c r="A613" s="15"/>
      <c r="B613" s="11"/>
      <c r="C613" s="11"/>
      <c r="D613" s="11"/>
      <c r="G613" s="26"/>
    </row>
    <row r="614" ht="15.75" customHeight="1">
      <c r="A614" s="15"/>
      <c r="B614" s="11"/>
      <c r="C614" s="11"/>
      <c r="D614" s="11"/>
      <c r="G614" s="26"/>
    </row>
    <row r="615" ht="15.75" customHeight="1">
      <c r="A615" s="15"/>
      <c r="B615" s="11"/>
      <c r="C615" s="11"/>
      <c r="D615" s="11"/>
      <c r="G615" s="26"/>
    </row>
    <row r="616" ht="15.75" customHeight="1">
      <c r="A616" s="15"/>
      <c r="B616" s="11"/>
      <c r="C616" s="11"/>
      <c r="D616" s="11"/>
      <c r="G616" s="26"/>
    </row>
    <row r="617" ht="15.75" customHeight="1">
      <c r="A617" s="15"/>
      <c r="B617" s="11"/>
      <c r="C617" s="11"/>
      <c r="D617" s="11"/>
      <c r="G617" s="26"/>
    </row>
    <row r="618" ht="15.75" customHeight="1">
      <c r="A618" s="15"/>
      <c r="B618" s="11"/>
      <c r="C618" s="11"/>
      <c r="D618" s="11"/>
      <c r="G618" s="26"/>
    </row>
    <row r="619" ht="15.75" customHeight="1">
      <c r="A619" s="15"/>
      <c r="B619" s="11"/>
      <c r="C619" s="11"/>
      <c r="D619" s="11"/>
      <c r="G619" s="26"/>
    </row>
    <row r="620" ht="15.75" customHeight="1">
      <c r="A620" s="15"/>
      <c r="B620" s="11"/>
      <c r="C620" s="11"/>
      <c r="D620" s="11"/>
      <c r="G620" s="26"/>
    </row>
    <row r="621" ht="15.75" customHeight="1">
      <c r="A621" s="15"/>
      <c r="B621" s="11"/>
      <c r="C621" s="11"/>
      <c r="D621" s="11"/>
      <c r="G621" s="26"/>
    </row>
    <row r="622" ht="15.75" customHeight="1">
      <c r="A622" s="15"/>
      <c r="B622" s="11"/>
      <c r="C622" s="11"/>
      <c r="D622" s="11"/>
      <c r="G622" s="26"/>
    </row>
    <row r="623" ht="15.75" customHeight="1">
      <c r="A623" s="15"/>
      <c r="B623" s="11"/>
      <c r="C623" s="11"/>
      <c r="D623" s="11"/>
      <c r="G623" s="26"/>
    </row>
    <row r="624" ht="15.75" customHeight="1">
      <c r="A624" s="15"/>
      <c r="B624" s="11"/>
      <c r="C624" s="11"/>
      <c r="D624" s="11"/>
      <c r="G624" s="26"/>
    </row>
    <row r="625" ht="15.75" customHeight="1">
      <c r="A625" s="15"/>
      <c r="B625" s="11"/>
      <c r="C625" s="11"/>
      <c r="D625" s="11"/>
      <c r="G625" s="26"/>
    </row>
    <row r="626" ht="15.75" customHeight="1">
      <c r="A626" s="15"/>
      <c r="B626" s="11"/>
      <c r="C626" s="11"/>
      <c r="D626" s="11"/>
      <c r="G626" s="26"/>
    </row>
    <row r="627" ht="15.75" customHeight="1">
      <c r="A627" s="15"/>
      <c r="B627" s="11"/>
      <c r="C627" s="11"/>
      <c r="D627" s="11"/>
      <c r="G627" s="26"/>
    </row>
    <row r="628" ht="15.75" customHeight="1">
      <c r="A628" s="15"/>
      <c r="B628" s="11"/>
      <c r="C628" s="11"/>
      <c r="D628" s="11"/>
      <c r="G628" s="26"/>
    </row>
    <row r="629" ht="15.75" customHeight="1">
      <c r="A629" s="15"/>
      <c r="B629" s="11"/>
      <c r="C629" s="11"/>
      <c r="D629" s="11"/>
      <c r="G629" s="26"/>
    </row>
    <row r="630" ht="15.75" customHeight="1">
      <c r="A630" s="15"/>
      <c r="B630" s="11"/>
      <c r="C630" s="11"/>
      <c r="D630" s="11"/>
      <c r="G630" s="26"/>
    </row>
    <row r="631" ht="15.75" customHeight="1">
      <c r="A631" s="15"/>
      <c r="B631" s="11"/>
      <c r="C631" s="11"/>
      <c r="D631" s="11"/>
      <c r="G631" s="26"/>
    </row>
    <row r="632" ht="15.75" customHeight="1">
      <c r="A632" s="15"/>
      <c r="B632" s="11"/>
      <c r="C632" s="11"/>
      <c r="D632" s="11"/>
      <c r="G632" s="26"/>
    </row>
    <row r="633" ht="15.75" customHeight="1">
      <c r="A633" s="15"/>
      <c r="B633" s="11"/>
      <c r="C633" s="11"/>
      <c r="D633" s="11"/>
      <c r="G633" s="26"/>
    </row>
    <row r="634" ht="15.75" customHeight="1">
      <c r="A634" s="15"/>
      <c r="B634" s="11"/>
      <c r="C634" s="11"/>
      <c r="D634" s="11"/>
      <c r="G634" s="26"/>
    </row>
    <row r="635" ht="15.75" customHeight="1">
      <c r="A635" s="15"/>
      <c r="B635" s="11"/>
      <c r="C635" s="11"/>
      <c r="D635" s="11"/>
      <c r="G635" s="26"/>
    </row>
    <row r="636" ht="15.75" customHeight="1">
      <c r="A636" s="15"/>
      <c r="B636" s="11"/>
      <c r="C636" s="11"/>
      <c r="D636" s="11"/>
      <c r="G636" s="26"/>
    </row>
    <row r="637" ht="15.75" customHeight="1">
      <c r="A637" s="15"/>
      <c r="B637" s="11"/>
      <c r="C637" s="11"/>
      <c r="D637" s="11"/>
      <c r="G637" s="26"/>
    </row>
    <row r="638" ht="15.75" customHeight="1">
      <c r="A638" s="15"/>
      <c r="B638" s="11"/>
      <c r="C638" s="11"/>
      <c r="D638" s="11"/>
      <c r="G638" s="26"/>
    </row>
    <row r="639" ht="15.75" customHeight="1">
      <c r="A639" s="15"/>
      <c r="B639" s="11"/>
      <c r="C639" s="11"/>
      <c r="D639" s="11"/>
      <c r="G639" s="26"/>
    </row>
    <row r="640" ht="15.75" customHeight="1">
      <c r="A640" s="15"/>
      <c r="B640" s="11"/>
      <c r="C640" s="11"/>
      <c r="D640" s="11"/>
      <c r="G640" s="26"/>
    </row>
    <row r="641" ht="15.75" customHeight="1">
      <c r="A641" s="15"/>
      <c r="B641" s="11"/>
      <c r="C641" s="11"/>
      <c r="D641" s="11"/>
      <c r="G641" s="26"/>
    </row>
    <row r="642" ht="15.75" customHeight="1">
      <c r="A642" s="15"/>
      <c r="B642" s="11"/>
      <c r="C642" s="11"/>
      <c r="D642" s="11"/>
      <c r="G642" s="26"/>
    </row>
    <row r="643" ht="15.75" customHeight="1">
      <c r="A643" s="15"/>
      <c r="B643" s="11"/>
      <c r="C643" s="11"/>
      <c r="D643" s="11"/>
      <c r="G643" s="26"/>
    </row>
    <row r="644" ht="15.75" customHeight="1">
      <c r="A644" s="15"/>
      <c r="B644" s="11"/>
      <c r="C644" s="11"/>
      <c r="D644" s="11"/>
      <c r="G644" s="26"/>
    </row>
    <row r="645" ht="15.75" customHeight="1">
      <c r="A645" s="15"/>
      <c r="B645" s="11"/>
      <c r="C645" s="11"/>
      <c r="D645" s="11"/>
      <c r="G645" s="26"/>
    </row>
    <row r="646" ht="15.75" customHeight="1">
      <c r="A646" s="15"/>
      <c r="B646" s="11"/>
      <c r="C646" s="11"/>
      <c r="D646" s="11"/>
      <c r="G646" s="26"/>
    </row>
    <row r="647" ht="15.75" customHeight="1">
      <c r="A647" s="15"/>
      <c r="B647" s="11"/>
      <c r="C647" s="11"/>
      <c r="D647" s="11"/>
      <c r="G647" s="26"/>
    </row>
    <row r="648" ht="15.75" customHeight="1">
      <c r="A648" s="15"/>
      <c r="B648" s="11"/>
      <c r="C648" s="11"/>
      <c r="D648" s="11"/>
      <c r="G648" s="26"/>
    </row>
    <row r="649" ht="15.75" customHeight="1">
      <c r="A649" s="15"/>
      <c r="B649" s="11"/>
      <c r="C649" s="11"/>
      <c r="D649" s="11"/>
      <c r="G649" s="26"/>
    </row>
    <row r="650" ht="15.75" customHeight="1">
      <c r="A650" s="15"/>
      <c r="B650" s="11"/>
      <c r="C650" s="11"/>
      <c r="D650" s="11"/>
      <c r="G650" s="26"/>
    </row>
    <row r="651" ht="15.75" customHeight="1">
      <c r="A651" s="15"/>
      <c r="B651" s="11"/>
      <c r="C651" s="11"/>
      <c r="D651" s="11"/>
      <c r="G651" s="26"/>
    </row>
    <row r="652" ht="15.75" customHeight="1">
      <c r="A652" s="15"/>
      <c r="B652" s="11"/>
      <c r="C652" s="11"/>
      <c r="D652" s="11"/>
      <c r="G652" s="26"/>
    </row>
    <row r="653" ht="15.75" customHeight="1">
      <c r="A653" s="15"/>
      <c r="B653" s="11"/>
      <c r="C653" s="11"/>
      <c r="D653" s="11"/>
      <c r="G653" s="26"/>
    </row>
    <row r="654" ht="15.75" customHeight="1">
      <c r="A654" s="15"/>
      <c r="B654" s="11"/>
      <c r="C654" s="11"/>
      <c r="D654" s="11"/>
      <c r="G654" s="26"/>
    </row>
    <row r="655" ht="15.75" customHeight="1">
      <c r="A655" s="15"/>
      <c r="B655" s="11"/>
      <c r="C655" s="11"/>
      <c r="D655" s="11"/>
      <c r="G655" s="26"/>
    </row>
    <row r="656" ht="15.75" customHeight="1">
      <c r="A656" s="15"/>
      <c r="B656" s="11"/>
      <c r="C656" s="11"/>
      <c r="D656" s="11"/>
      <c r="G656" s="26"/>
    </row>
    <row r="657" ht="15.75" customHeight="1">
      <c r="A657" s="15"/>
      <c r="B657" s="11"/>
      <c r="C657" s="11"/>
      <c r="D657" s="11"/>
      <c r="G657" s="26"/>
    </row>
    <row r="658" ht="15.75" customHeight="1">
      <c r="A658" s="15"/>
      <c r="B658" s="11"/>
      <c r="C658" s="11"/>
      <c r="D658" s="11"/>
      <c r="G658" s="26"/>
    </row>
    <row r="659" ht="15.75" customHeight="1">
      <c r="A659" s="15"/>
      <c r="B659" s="11"/>
      <c r="C659" s="11"/>
      <c r="D659" s="11"/>
      <c r="G659" s="26"/>
    </row>
    <row r="660" ht="15.75" customHeight="1">
      <c r="A660" s="15"/>
      <c r="B660" s="11"/>
      <c r="C660" s="11"/>
      <c r="D660" s="11"/>
      <c r="G660" s="26"/>
    </row>
    <row r="661" ht="15.75" customHeight="1">
      <c r="A661" s="15"/>
      <c r="B661" s="11"/>
      <c r="C661" s="11"/>
      <c r="D661" s="11"/>
      <c r="G661" s="26"/>
    </row>
    <row r="662" ht="15.75" customHeight="1">
      <c r="A662" s="15"/>
      <c r="B662" s="11"/>
      <c r="C662" s="11"/>
      <c r="D662" s="11"/>
      <c r="G662" s="26"/>
    </row>
    <row r="663" ht="15.75" customHeight="1">
      <c r="A663" s="15"/>
      <c r="B663" s="11"/>
      <c r="C663" s="11"/>
      <c r="D663" s="11"/>
      <c r="G663" s="26"/>
    </row>
    <row r="664" ht="15.75" customHeight="1">
      <c r="A664" s="15"/>
      <c r="B664" s="11"/>
      <c r="C664" s="11"/>
      <c r="D664" s="11"/>
      <c r="G664" s="26"/>
    </row>
    <row r="665" ht="15.75" customHeight="1">
      <c r="A665" s="15"/>
      <c r="B665" s="11"/>
      <c r="C665" s="11"/>
      <c r="D665" s="11"/>
      <c r="G665" s="26"/>
    </row>
    <row r="666" ht="15.75" customHeight="1">
      <c r="A666" s="15"/>
      <c r="B666" s="11"/>
      <c r="C666" s="11"/>
      <c r="D666" s="11"/>
      <c r="G666" s="26"/>
    </row>
    <row r="667" ht="15.75" customHeight="1">
      <c r="A667" s="15"/>
      <c r="B667" s="11"/>
      <c r="C667" s="11"/>
      <c r="D667" s="11"/>
      <c r="G667" s="26"/>
    </row>
    <row r="668" ht="15.75" customHeight="1">
      <c r="A668" s="15"/>
      <c r="B668" s="11"/>
      <c r="C668" s="11"/>
      <c r="D668" s="11"/>
      <c r="G668" s="26"/>
    </row>
    <row r="669" ht="15.75" customHeight="1">
      <c r="A669" s="15"/>
      <c r="B669" s="11"/>
      <c r="C669" s="11"/>
      <c r="D669" s="11"/>
      <c r="G669" s="26"/>
    </row>
    <row r="670" ht="15.75" customHeight="1">
      <c r="A670" s="15"/>
      <c r="B670" s="11"/>
      <c r="C670" s="11"/>
      <c r="D670" s="11"/>
      <c r="G670" s="26"/>
    </row>
    <row r="671" ht="15.75" customHeight="1">
      <c r="A671" s="15"/>
      <c r="B671" s="11"/>
      <c r="C671" s="11"/>
      <c r="D671" s="11"/>
      <c r="G671" s="26"/>
    </row>
    <row r="672" ht="15.75" customHeight="1">
      <c r="A672" s="15"/>
      <c r="B672" s="11"/>
      <c r="C672" s="11"/>
      <c r="D672" s="11"/>
      <c r="G672" s="26"/>
    </row>
    <row r="673" ht="15.75" customHeight="1">
      <c r="A673" s="15"/>
      <c r="B673" s="11"/>
      <c r="C673" s="11"/>
      <c r="D673" s="11"/>
      <c r="G673" s="26"/>
    </row>
    <row r="674" ht="15.75" customHeight="1">
      <c r="A674" s="15"/>
      <c r="B674" s="11"/>
      <c r="C674" s="11"/>
      <c r="D674" s="11"/>
      <c r="G674" s="26"/>
    </row>
    <row r="675" ht="15.75" customHeight="1">
      <c r="A675" s="15"/>
      <c r="B675" s="11"/>
      <c r="C675" s="11"/>
      <c r="D675" s="11"/>
      <c r="G675" s="26"/>
    </row>
    <row r="676" ht="15.75" customHeight="1">
      <c r="A676" s="15"/>
      <c r="B676" s="11"/>
      <c r="C676" s="11"/>
      <c r="D676" s="11"/>
      <c r="G676" s="26"/>
    </row>
    <row r="677" ht="15.75" customHeight="1">
      <c r="A677" s="15"/>
      <c r="B677" s="11"/>
      <c r="C677" s="11"/>
      <c r="D677" s="11"/>
      <c r="G677" s="26"/>
    </row>
    <row r="678" ht="15.75" customHeight="1">
      <c r="A678" s="15"/>
      <c r="B678" s="11"/>
      <c r="C678" s="11"/>
      <c r="D678" s="11"/>
      <c r="G678" s="26"/>
    </row>
    <row r="679" ht="15.75" customHeight="1">
      <c r="A679" s="15"/>
      <c r="B679" s="11"/>
      <c r="C679" s="11"/>
      <c r="D679" s="11"/>
      <c r="G679" s="26"/>
    </row>
    <row r="680" ht="15.75" customHeight="1">
      <c r="A680" s="15"/>
      <c r="B680" s="11"/>
      <c r="C680" s="11"/>
      <c r="D680" s="11"/>
      <c r="G680" s="26"/>
    </row>
    <row r="681" ht="15.75" customHeight="1">
      <c r="A681" s="15"/>
      <c r="B681" s="11"/>
      <c r="C681" s="11"/>
      <c r="D681" s="11"/>
      <c r="G681" s="26"/>
    </row>
    <row r="682" ht="15.75" customHeight="1">
      <c r="A682" s="15"/>
      <c r="B682" s="11"/>
      <c r="C682" s="11"/>
      <c r="D682" s="11"/>
      <c r="G682" s="26"/>
    </row>
    <row r="683" ht="15.75" customHeight="1">
      <c r="A683" s="15"/>
      <c r="B683" s="11"/>
      <c r="C683" s="11"/>
      <c r="D683" s="11"/>
      <c r="G683" s="26"/>
    </row>
    <row r="684" ht="15.75" customHeight="1">
      <c r="A684" s="15"/>
      <c r="B684" s="11"/>
      <c r="C684" s="11"/>
      <c r="D684" s="11"/>
      <c r="G684" s="26"/>
    </row>
    <row r="685" ht="15.75" customHeight="1">
      <c r="A685" s="15"/>
      <c r="B685" s="11"/>
      <c r="C685" s="11"/>
      <c r="D685" s="11"/>
      <c r="G685" s="26"/>
    </row>
    <row r="686" ht="15.75" customHeight="1">
      <c r="A686" s="15"/>
      <c r="B686" s="11"/>
      <c r="C686" s="11"/>
      <c r="D686" s="11"/>
      <c r="G686" s="26"/>
    </row>
    <row r="687" ht="15.75" customHeight="1">
      <c r="A687" s="15"/>
      <c r="B687" s="11"/>
      <c r="C687" s="11"/>
      <c r="D687" s="11"/>
      <c r="G687" s="26"/>
    </row>
    <row r="688" ht="15.75" customHeight="1">
      <c r="A688" s="15"/>
      <c r="B688" s="11"/>
      <c r="C688" s="11"/>
      <c r="D688" s="11"/>
      <c r="G688" s="26"/>
    </row>
    <row r="689" ht="15.75" customHeight="1">
      <c r="A689" s="15"/>
      <c r="B689" s="11"/>
      <c r="C689" s="11"/>
      <c r="D689" s="11"/>
      <c r="G689" s="26"/>
    </row>
    <row r="690" ht="15.75" customHeight="1">
      <c r="A690" s="15"/>
      <c r="B690" s="11"/>
      <c r="C690" s="11"/>
      <c r="D690" s="11"/>
      <c r="G690" s="26"/>
    </row>
    <row r="691" ht="15.75" customHeight="1">
      <c r="A691" s="15"/>
      <c r="B691" s="11"/>
      <c r="C691" s="11"/>
      <c r="D691" s="11"/>
      <c r="G691" s="26"/>
    </row>
    <row r="692" ht="15.75" customHeight="1">
      <c r="A692" s="15"/>
      <c r="B692" s="11"/>
      <c r="C692" s="11"/>
      <c r="D692" s="11"/>
      <c r="G692" s="26"/>
    </row>
    <row r="693" ht="15.75" customHeight="1">
      <c r="A693" s="15"/>
      <c r="B693" s="11"/>
      <c r="C693" s="11"/>
      <c r="D693" s="11"/>
      <c r="G693" s="26"/>
    </row>
    <row r="694" ht="15.75" customHeight="1">
      <c r="A694" s="15"/>
      <c r="B694" s="11"/>
      <c r="C694" s="11"/>
      <c r="D694" s="11"/>
      <c r="G694" s="26"/>
    </row>
    <row r="695" ht="15.75" customHeight="1">
      <c r="A695" s="15"/>
      <c r="B695" s="11"/>
      <c r="C695" s="11"/>
      <c r="D695" s="11"/>
      <c r="G695" s="26"/>
    </row>
    <row r="696" ht="15.75" customHeight="1">
      <c r="A696" s="15"/>
      <c r="B696" s="11"/>
      <c r="C696" s="11"/>
      <c r="D696" s="11"/>
      <c r="G696" s="26"/>
    </row>
    <row r="697" ht="15.75" customHeight="1">
      <c r="A697" s="15"/>
      <c r="B697" s="11"/>
      <c r="C697" s="11"/>
      <c r="D697" s="11"/>
      <c r="G697" s="26"/>
    </row>
    <row r="698" ht="15.75" customHeight="1">
      <c r="A698" s="15"/>
      <c r="B698" s="11"/>
      <c r="C698" s="11"/>
      <c r="D698" s="11"/>
      <c r="G698" s="26"/>
    </row>
    <row r="699" ht="15.75" customHeight="1">
      <c r="A699" s="15"/>
      <c r="B699" s="11"/>
      <c r="C699" s="11"/>
      <c r="D699" s="11"/>
      <c r="G699" s="26"/>
    </row>
    <row r="700" ht="15.75" customHeight="1">
      <c r="A700" s="15"/>
      <c r="B700" s="11"/>
      <c r="C700" s="11"/>
      <c r="D700" s="11"/>
      <c r="G700" s="26"/>
    </row>
    <row r="701" ht="15.75" customHeight="1">
      <c r="A701" s="15"/>
      <c r="B701" s="11"/>
      <c r="C701" s="11"/>
      <c r="D701" s="11"/>
      <c r="G701" s="26"/>
    </row>
    <row r="702" ht="15.75" customHeight="1">
      <c r="A702" s="15"/>
      <c r="B702" s="11"/>
      <c r="C702" s="11"/>
      <c r="D702" s="11"/>
      <c r="G702" s="26"/>
    </row>
    <row r="703" ht="15.75" customHeight="1">
      <c r="A703" s="15"/>
      <c r="B703" s="11"/>
      <c r="C703" s="11"/>
      <c r="D703" s="11"/>
      <c r="G703" s="26"/>
    </row>
    <row r="704" ht="15.75" customHeight="1">
      <c r="A704" s="15"/>
      <c r="B704" s="11"/>
      <c r="C704" s="11"/>
      <c r="D704" s="11"/>
      <c r="G704" s="26"/>
    </row>
    <row r="705" ht="15.75" customHeight="1">
      <c r="A705" s="15"/>
      <c r="B705" s="11"/>
      <c r="C705" s="11"/>
      <c r="D705" s="11"/>
      <c r="G705" s="26"/>
    </row>
    <row r="706" ht="15.75" customHeight="1">
      <c r="A706" s="15"/>
      <c r="B706" s="11"/>
      <c r="C706" s="11"/>
      <c r="D706" s="11"/>
      <c r="G706" s="26"/>
    </row>
    <row r="707" ht="15.75" customHeight="1">
      <c r="A707" s="15"/>
      <c r="B707" s="11"/>
      <c r="C707" s="11"/>
      <c r="D707" s="11"/>
      <c r="G707" s="26"/>
    </row>
    <row r="708" ht="15.75" customHeight="1">
      <c r="A708" s="15"/>
      <c r="B708" s="11"/>
      <c r="C708" s="11"/>
      <c r="D708" s="11"/>
      <c r="G708" s="26"/>
    </row>
    <row r="709" ht="15.75" customHeight="1">
      <c r="A709" s="15"/>
      <c r="B709" s="11"/>
      <c r="C709" s="11"/>
      <c r="D709" s="11"/>
      <c r="G709" s="26"/>
    </row>
    <row r="710" ht="15.75" customHeight="1">
      <c r="A710" s="15"/>
      <c r="B710" s="11"/>
      <c r="C710" s="11"/>
      <c r="D710" s="11"/>
      <c r="G710" s="26"/>
    </row>
    <row r="711" ht="15.75" customHeight="1">
      <c r="A711" s="15"/>
      <c r="B711" s="11"/>
      <c r="C711" s="11"/>
      <c r="D711" s="11"/>
      <c r="G711" s="26"/>
    </row>
    <row r="712" ht="15.75" customHeight="1">
      <c r="A712" s="15"/>
      <c r="B712" s="11"/>
      <c r="C712" s="11"/>
      <c r="D712" s="11"/>
      <c r="G712" s="26"/>
    </row>
    <row r="713" ht="15.75" customHeight="1">
      <c r="A713" s="15"/>
      <c r="B713" s="11"/>
      <c r="C713" s="11"/>
      <c r="D713" s="11"/>
      <c r="G713" s="26"/>
    </row>
    <row r="714" ht="15.75" customHeight="1">
      <c r="A714" s="15"/>
      <c r="B714" s="11"/>
      <c r="C714" s="11"/>
      <c r="D714" s="11"/>
      <c r="G714" s="26"/>
    </row>
    <row r="715" ht="15.75" customHeight="1">
      <c r="A715" s="15"/>
      <c r="B715" s="11"/>
      <c r="C715" s="11"/>
      <c r="D715" s="11"/>
      <c r="G715" s="26"/>
    </row>
    <row r="716" ht="15.75" customHeight="1">
      <c r="A716" s="15"/>
      <c r="B716" s="11"/>
      <c r="C716" s="11"/>
      <c r="D716" s="11"/>
      <c r="G716" s="26"/>
    </row>
    <row r="717" ht="15.75" customHeight="1">
      <c r="A717" s="15"/>
      <c r="B717" s="11"/>
      <c r="C717" s="11"/>
      <c r="D717" s="11"/>
      <c r="G717" s="26"/>
    </row>
    <row r="718" ht="15.75" customHeight="1">
      <c r="A718" s="15"/>
      <c r="B718" s="11"/>
      <c r="C718" s="11"/>
      <c r="D718" s="11"/>
      <c r="G718" s="26"/>
    </row>
    <row r="719" ht="15.75" customHeight="1">
      <c r="A719" s="15"/>
      <c r="B719" s="11"/>
      <c r="C719" s="11"/>
      <c r="D719" s="11"/>
      <c r="G719" s="26"/>
    </row>
    <row r="720" ht="15.75" customHeight="1">
      <c r="A720" s="15"/>
      <c r="B720" s="11"/>
      <c r="C720" s="11"/>
      <c r="D720" s="11"/>
      <c r="G720" s="26"/>
    </row>
    <row r="721" ht="15.75" customHeight="1">
      <c r="A721" s="15"/>
      <c r="B721" s="11"/>
      <c r="C721" s="11"/>
      <c r="D721" s="11"/>
      <c r="G721" s="26"/>
    </row>
    <row r="722" ht="15.75" customHeight="1">
      <c r="A722" s="15"/>
      <c r="B722" s="11"/>
      <c r="C722" s="11"/>
      <c r="D722" s="11"/>
      <c r="G722" s="26"/>
    </row>
    <row r="723" ht="15.75" customHeight="1">
      <c r="A723" s="15"/>
      <c r="B723" s="11"/>
      <c r="C723" s="11"/>
      <c r="D723" s="11"/>
      <c r="G723" s="26"/>
    </row>
    <row r="724" ht="15.75" customHeight="1">
      <c r="A724" s="15"/>
      <c r="B724" s="11"/>
      <c r="C724" s="11"/>
      <c r="D724" s="11"/>
      <c r="G724" s="26"/>
    </row>
    <row r="725" ht="15.75" customHeight="1">
      <c r="A725" s="15"/>
      <c r="B725" s="11"/>
      <c r="C725" s="11"/>
      <c r="D725" s="11"/>
      <c r="G725" s="26"/>
    </row>
    <row r="726" ht="15.75" customHeight="1">
      <c r="A726" s="15"/>
      <c r="B726" s="11"/>
      <c r="C726" s="11"/>
      <c r="D726" s="11"/>
      <c r="G726" s="26"/>
    </row>
    <row r="727" ht="15.75" customHeight="1">
      <c r="A727" s="15"/>
      <c r="B727" s="11"/>
      <c r="C727" s="11"/>
      <c r="D727" s="11"/>
      <c r="G727" s="26"/>
    </row>
    <row r="728" ht="15.75" customHeight="1">
      <c r="A728" s="15"/>
      <c r="B728" s="11"/>
      <c r="C728" s="11"/>
      <c r="D728" s="11"/>
      <c r="G728" s="26"/>
    </row>
    <row r="729" ht="15.75" customHeight="1">
      <c r="A729" s="15"/>
      <c r="B729" s="11"/>
      <c r="C729" s="11"/>
      <c r="D729" s="11"/>
      <c r="G729" s="26"/>
    </row>
    <row r="730" ht="15.75" customHeight="1">
      <c r="A730" s="15"/>
      <c r="B730" s="11"/>
      <c r="C730" s="11"/>
      <c r="D730" s="11"/>
      <c r="G730" s="26"/>
    </row>
    <row r="731" ht="15.75" customHeight="1">
      <c r="A731" s="15"/>
      <c r="B731" s="11"/>
      <c r="C731" s="11"/>
      <c r="D731" s="11"/>
      <c r="G731" s="26"/>
    </row>
    <row r="732" ht="15.75" customHeight="1">
      <c r="A732" s="15"/>
      <c r="B732" s="11"/>
      <c r="C732" s="11"/>
      <c r="D732" s="11"/>
      <c r="G732" s="26"/>
    </row>
    <row r="733" ht="15.75" customHeight="1">
      <c r="A733" s="15"/>
      <c r="B733" s="11"/>
      <c r="C733" s="11"/>
      <c r="D733" s="11"/>
      <c r="G733" s="26"/>
    </row>
    <row r="734" ht="15.75" customHeight="1">
      <c r="A734" s="15"/>
      <c r="B734" s="11"/>
      <c r="C734" s="11"/>
      <c r="D734" s="11"/>
      <c r="G734" s="26"/>
    </row>
    <row r="735" ht="15.75" customHeight="1">
      <c r="A735" s="15"/>
      <c r="B735" s="11"/>
      <c r="C735" s="11"/>
      <c r="D735" s="11"/>
      <c r="G735" s="26"/>
    </row>
    <row r="736" ht="15.75" customHeight="1">
      <c r="A736" s="15"/>
      <c r="B736" s="11"/>
      <c r="C736" s="11"/>
      <c r="D736" s="11"/>
      <c r="G736" s="26"/>
    </row>
    <row r="737" ht="15.75" customHeight="1">
      <c r="A737" s="15"/>
      <c r="B737" s="11"/>
      <c r="C737" s="11"/>
      <c r="D737" s="11"/>
      <c r="G737" s="26"/>
    </row>
    <row r="738" ht="15.75" customHeight="1">
      <c r="A738" s="15"/>
      <c r="B738" s="11"/>
      <c r="C738" s="11"/>
      <c r="D738" s="11"/>
      <c r="G738" s="26"/>
    </row>
    <row r="739" ht="15.75" customHeight="1">
      <c r="A739" s="15"/>
      <c r="B739" s="11"/>
      <c r="C739" s="11"/>
      <c r="D739" s="11"/>
      <c r="G739" s="26"/>
    </row>
    <row r="740" ht="15.75" customHeight="1">
      <c r="A740" s="15"/>
      <c r="B740" s="11"/>
      <c r="C740" s="11"/>
      <c r="D740" s="11"/>
      <c r="G740" s="26"/>
    </row>
    <row r="741" ht="15.75" customHeight="1">
      <c r="A741" s="15"/>
      <c r="B741" s="11"/>
      <c r="C741" s="11"/>
      <c r="D741" s="11"/>
      <c r="G741" s="26"/>
    </row>
    <row r="742" ht="15.75" customHeight="1">
      <c r="A742" s="15"/>
      <c r="B742" s="11"/>
      <c r="C742" s="11"/>
      <c r="D742" s="11"/>
      <c r="G742" s="26"/>
    </row>
    <row r="743" ht="15.75" customHeight="1">
      <c r="A743" s="15"/>
      <c r="B743" s="11"/>
      <c r="C743" s="11"/>
      <c r="D743" s="11"/>
      <c r="G743" s="26"/>
    </row>
    <row r="744" ht="15.75" customHeight="1">
      <c r="A744" s="15"/>
      <c r="B744" s="11"/>
      <c r="C744" s="11"/>
      <c r="D744" s="11"/>
      <c r="G744" s="26"/>
    </row>
    <row r="745" ht="15.75" customHeight="1">
      <c r="A745" s="15"/>
      <c r="B745" s="11"/>
      <c r="C745" s="11"/>
      <c r="D745" s="11"/>
      <c r="G745" s="26"/>
    </row>
    <row r="746" ht="15.75" customHeight="1">
      <c r="A746" s="15"/>
      <c r="B746" s="11"/>
      <c r="C746" s="11"/>
      <c r="D746" s="11"/>
      <c r="G746" s="26"/>
    </row>
    <row r="747" ht="15.75" customHeight="1">
      <c r="A747" s="15"/>
      <c r="B747" s="11"/>
      <c r="C747" s="11"/>
      <c r="D747" s="11"/>
      <c r="G747" s="26"/>
    </row>
    <row r="748" ht="15.75" customHeight="1">
      <c r="A748" s="15"/>
      <c r="B748" s="11"/>
      <c r="C748" s="11"/>
      <c r="D748" s="11"/>
      <c r="G748" s="26"/>
    </row>
    <row r="749" ht="15.75" customHeight="1">
      <c r="A749" s="15"/>
      <c r="B749" s="11"/>
      <c r="C749" s="11"/>
      <c r="D749" s="11"/>
      <c r="G749" s="26"/>
    </row>
    <row r="750" ht="15.75" customHeight="1">
      <c r="A750" s="15"/>
      <c r="B750" s="11"/>
      <c r="C750" s="11"/>
      <c r="D750" s="11"/>
      <c r="G750" s="26"/>
    </row>
    <row r="751" ht="15.75" customHeight="1">
      <c r="A751" s="15"/>
      <c r="B751" s="11"/>
      <c r="C751" s="11"/>
      <c r="D751" s="11"/>
      <c r="G751" s="26"/>
    </row>
    <row r="752" ht="15.75" customHeight="1">
      <c r="A752" s="15"/>
      <c r="B752" s="11"/>
      <c r="C752" s="11"/>
      <c r="D752" s="11"/>
      <c r="G752" s="26"/>
    </row>
    <row r="753" ht="15.75" customHeight="1">
      <c r="A753" s="15"/>
      <c r="B753" s="11"/>
      <c r="C753" s="11"/>
      <c r="D753" s="11"/>
      <c r="G753" s="26"/>
    </row>
    <row r="754" ht="15.75" customHeight="1">
      <c r="A754" s="15"/>
      <c r="B754" s="11"/>
      <c r="C754" s="11"/>
      <c r="D754" s="11"/>
      <c r="G754" s="26"/>
    </row>
    <row r="755" ht="15.75" customHeight="1">
      <c r="A755" s="15"/>
      <c r="B755" s="11"/>
      <c r="C755" s="11"/>
      <c r="D755" s="11"/>
      <c r="G755" s="26"/>
    </row>
    <row r="756" ht="15.75" customHeight="1">
      <c r="A756" s="15"/>
      <c r="B756" s="11"/>
      <c r="C756" s="11"/>
      <c r="D756" s="11"/>
      <c r="G756" s="26"/>
    </row>
    <row r="757" ht="15.75" customHeight="1">
      <c r="A757" s="15"/>
      <c r="B757" s="11"/>
      <c r="C757" s="11"/>
      <c r="D757" s="11"/>
      <c r="G757" s="26"/>
    </row>
    <row r="758" ht="15.75" customHeight="1">
      <c r="A758" s="15"/>
      <c r="B758" s="11"/>
      <c r="C758" s="11"/>
      <c r="D758" s="11"/>
      <c r="G758" s="26"/>
    </row>
    <row r="759" ht="15.75" customHeight="1">
      <c r="A759" s="15"/>
      <c r="B759" s="11"/>
      <c r="C759" s="11"/>
      <c r="D759" s="11"/>
      <c r="G759" s="26"/>
    </row>
    <row r="760" ht="15.75" customHeight="1">
      <c r="A760" s="15"/>
      <c r="B760" s="11"/>
      <c r="C760" s="11"/>
      <c r="D760" s="11"/>
      <c r="G760" s="26"/>
    </row>
    <row r="761" ht="15.75" customHeight="1">
      <c r="A761" s="15"/>
      <c r="B761" s="11"/>
      <c r="C761" s="11"/>
      <c r="D761" s="11"/>
      <c r="G761" s="26"/>
    </row>
    <row r="762" ht="15.75" customHeight="1">
      <c r="A762" s="15"/>
      <c r="B762" s="11"/>
      <c r="C762" s="11"/>
      <c r="D762" s="11"/>
      <c r="G762" s="26"/>
    </row>
    <row r="763" ht="15.75" customHeight="1">
      <c r="A763" s="15"/>
      <c r="B763" s="11"/>
      <c r="C763" s="11"/>
      <c r="D763" s="11"/>
      <c r="G763" s="26"/>
    </row>
    <row r="764" ht="15.75" customHeight="1">
      <c r="A764" s="15"/>
      <c r="B764" s="11"/>
      <c r="C764" s="11"/>
      <c r="D764" s="11"/>
      <c r="G764" s="26"/>
    </row>
    <row r="765" ht="15.75" customHeight="1">
      <c r="A765" s="15"/>
      <c r="B765" s="11"/>
      <c r="C765" s="11"/>
      <c r="D765" s="11"/>
      <c r="G765" s="26"/>
    </row>
    <row r="766" ht="15.75" customHeight="1">
      <c r="A766" s="15"/>
      <c r="B766" s="11"/>
      <c r="C766" s="11"/>
      <c r="D766" s="11"/>
      <c r="G766" s="26"/>
    </row>
    <row r="767" ht="15.75" customHeight="1">
      <c r="A767" s="15"/>
      <c r="B767" s="11"/>
      <c r="C767" s="11"/>
      <c r="D767" s="11"/>
      <c r="G767" s="26"/>
    </row>
    <row r="768" ht="15.75" customHeight="1">
      <c r="A768" s="15"/>
      <c r="B768" s="11"/>
      <c r="C768" s="11"/>
      <c r="D768" s="11"/>
      <c r="G768" s="26"/>
    </row>
    <row r="769" ht="15.75" customHeight="1">
      <c r="A769" s="15"/>
      <c r="B769" s="11"/>
      <c r="C769" s="11"/>
      <c r="D769" s="11"/>
      <c r="G769" s="26"/>
    </row>
    <row r="770" ht="15.75" customHeight="1">
      <c r="A770" s="15"/>
      <c r="B770" s="11"/>
      <c r="C770" s="11"/>
      <c r="D770" s="11"/>
      <c r="G770" s="26"/>
    </row>
    <row r="771" ht="15.75" customHeight="1">
      <c r="A771" s="15"/>
      <c r="B771" s="11"/>
      <c r="C771" s="11"/>
      <c r="D771" s="11"/>
      <c r="G771" s="26"/>
    </row>
    <row r="772" ht="15.75" customHeight="1">
      <c r="A772" s="15"/>
      <c r="B772" s="11"/>
      <c r="C772" s="11"/>
      <c r="D772" s="11"/>
      <c r="G772" s="26"/>
    </row>
    <row r="773" ht="15.75" customHeight="1">
      <c r="A773" s="15"/>
      <c r="B773" s="11"/>
      <c r="C773" s="11"/>
      <c r="D773" s="11"/>
      <c r="G773" s="26"/>
    </row>
    <row r="774" ht="15.75" customHeight="1">
      <c r="A774" s="15"/>
      <c r="B774" s="11"/>
      <c r="C774" s="11"/>
      <c r="D774" s="11"/>
      <c r="G774" s="26"/>
    </row>
    <row r="775" ht="15.75" customHeight="1">
      <c r="A775" s="15"/>
      <c r="B775" s="11"/>
      <c r="C775" s="11"/>
      <c r="D775" s="11"/>
      <c r="G775" s="26"/>
    </row>
    <row r="776" ht="15.75" customHeight="1">
      <c r="A776" s="15"/>
      <c r="B776" s="11"/>
      <c r="C776" s="11"/>
      <c r="D776" s="11"/>
      <c r="G776" s="26"/>
    </row>
    <row r="777" ht="15.75" customHeight="1">
      <c r="A777" s="15"/>
      <c r="B777" s="11"/>
      <c r="C777" s="11"/>
      <c r="D777" s="11"/>
      <c r="G777" s="26"/>
    </row>
    <row r="778" ht="15.75" customHeight="1">
      <c r="A778" s="15"/>
      <c r="B778" s="11"/>
      <c r="C778" s="11"/>
      <c r="D778" s="11"/>
      <c r="G778" s="26"/>
    </row>
    <row r="779" ht="15.75" customHeight="1">
      <c r="A779" s="15"/>
      <c r="B779" s="11"/>
      <c r="C779" s="11"/>
      <c r="D779" s="11"/>
      <c r="G779" s="26"/>
    </row>
    <row r="780" ht="15.75" customHeight="1">
      <c r="A780" s="15"/>
      <c r="B780" s="11"/>
      <c r="C780" s="11"/>
      <c r="D780" s="11"/>
      <c r="G780" s="26"/>
    </row>
    <row r="781" ht="15.75" customHeight="1">
      <c r="A781" s="15"/>
      <c r="B781" s="11"/>
      <c r="C781" s="11"/>
      <c r="D781" s="11"/>
      <c r="G781" s="26"/>
    </row>
    <row r="782" ht="15.75" customHeight="1">
      <c r="A782" s="15"/>
      <c r="B782" s="11"/>
      <c r="C782" s="11"/>
      <c r="D782" s="11"/>
      <c r="G782" s="26"/>
    </row>
    <row r="783" ht="15.75" customHeight="1">
      <c r="A783" s="15"/>
      <c r="B783" s="11"/>
      <c r="C783" s="11"/>
      <c r="D783" s="11"/>
      <c r="G783" s="26"/>
    </row>
    <row r="784" ht="15.75" customHeight="1">
      <c r="A784" s="15"/>
      <c r="B784" s="11"/>
      <c r="C784" s="11"/>
      <c r="D784" s="11"/>
      <c r="G784" s="26"/>
    </row>
    <row r="785" ht="15.75" customHeight="1">
      <c r="A785" s="15"/>
      <c r="B785" s="11"/>
      <c r="C785" s="11"/>
      <c r="D785" s="11"/>
      <c r="G785" s="26"/>
    </row>
    <row r="786" ht="15.75" customHeight="1">
      <c r="A786" s="15"/>
      <c r="B786" s="11"/>
      <c r="C786" s="11"/>
      <c r="D786" s="11"/>
      <c r="G786" s="26"/>
    </row>
    <row r="787" ht="15.75" customHeight="1">
      <c r="A787" s="15"/>
      <c r="B787" s="11"/>
      <c r="C787" s="11"/>
      <c r="D787" s="11"/>
      <c r="G787" s="26"/>
    </row>
    <row r="788" ht="15.75" customHeight="1">
      <c r="A788" s="15"/>
      <c r="B788" s="11"/>
      <c r="C788" s="11"/>
      <c r="D788" s="11"/>
      <c r="G788" s="26"/>
    </row>
    <row r="789" ht="15.75" customHeight="1">
      <c r="A789" s="15"/>
      <c r="B789" s="11"/>
      <c r="C789" s="11"/>
      <c r="D789" s="11"/>
      <c r="G789" s="26"/>
    </row>
    <row r="790" ht="15.75" customHeight="1">
      <c r="A790" s="15"/>
      <c r="B790" s="11"/>
      <c r="C790" s="11"/>
      <c r="D790" s="11"/>
      <c r="G790" s="26"/>
    </row>
    <row r="791" ht="15.75" customHeight="1">
      <c r="A791" s="15"/>
      <c r="B791" s="11"/>
      <c r="C791" s="11"/>
      <c r="D791" s="11"/>
      <c r="G791" s="26"/>
    </row>
    <row r="792" ht="15.75" customHeight="1">
      <c r="A792" s="15"/>
      <c r="B792" s="11"/>
      <c r="C792" s="11"/>
      <c r="D792" s="11"/>
      <c r="G792" s="26"/>
    </row>
    <row r="793" ht="15.75" customHeight="1">
      <c r="A793" s="15"/>
      <c r="B793" s="11"/>
      <c r="C793" s="11"/>
      <c r="D793" s="11"/>
      <c r="G793" s="26"/>
    </row>
    <row r="794" ht="15.75" customHeight="1">
      <c r="A794" s="15"/>
      <c r="B794" s="11"/>
      <c r="C794" s="11"/>
      <c r="D794" s="11"/>
      <c r="G794" s="26"/>
    </row>
    <row r="795" ht="15.75" customHeight="1">
      <c r="A795" s="15"/>
      <c r="B795" s="11"/>
      <c r="C795" s="11"/>
      <c r="D795" s="11"/>
      <c r="G795" s="26"/>
    </row>
    <row r="796" ht="15.75" customHeight="1">
      <c r="A796" s="15"/>
      <c r="B796" s="11"/>
      <c r="C796" s="11"/>
      <c r="D796" s="11"/>
      <c r="G796" s="26"/>
    </row>
    <row r="797" ht="15.75" customHeight="1">
      <c r="A797" s="15"/>
      <c r="B797" s="11"/>
      <c r="C797" s="11"/>
      <c r="D797" s="11"/>
      <c r="G797" s="26"/>
    </row>
    <row r="798" ht="15.75" customHeight="1">
      <c r="A798" s="15"/>
      <c r="B798" s="11"/>
      <c r="C798" s="11"/>
      <c r="D798" s="11"/>
      <c r="G798" s="26"/>
    </row>
    <row r="799" ht="15.75" customHeight="1">
      <c r="A799" s="15"/>
      <c r="B799" s="11"/>
      <c r="C799" s="11"/>
      <c r="D799" s="11"/>
      <c r="G799" s="26"/>
    </row>
    <row r="800" ht="15.75" customHeight="1">
      <c r="A800" s="15"/>
      <c r="B800" s="11"/>
      <c r="C800" s="11"/>
      <c r="D800" s="11"/>
      <c r="G800" s="26"/>
    </row>
    <row r="801" ht="15.75" customHeight="1">
      <c r="A801" s="15"/>
      <c r="B801" s="11"/>
      <c r="C801" s="11"/>
      <c r="D801" s="11"/>
      <c r="G801" s="26"/>
    </row>
    <row r="802" ht="15.75" customHeight="1">
      <c r="A802" s="15"/>
      <c r="B802" s="11"/>
      <c r="C802" s="11"/>
      <c r="D802" s="11"/>
      <c r="G802" s="26"/>
    </row>
    <row r="803" ht="15.75" customHeight="1">
      <c r="A803" s="15"/>
      <c r="B803" s="11"/>
      <c r="C803" s="11"/>
      <c r="D803" s="11"/>
      <c r="G803" s="26"/>
    </row>
    <row r="804" ht="15.75" customHeight="1">
      <c r="A804" s="15"/>
      <c r="B804" s="11"/>
      <c r="C804" s="11"/>
      <c r="D804" s="11"/>
      <c r="G804" s="26"/>
    </row>
    <row r="805" ht="15.75" customHeight="1">
      <c r="A805" s="15"/>
      <c r="B805" s="11"/>
      <c r="C805" s="11"/>
      <c r="D805" s="11"/>
      <c r="G805" s="26"/>
    </row>
    <row r="806" ht="15.75" customHeight="1">
      <c r="A806" s="15"/>
      <c r="B806" s="11"/>
      <c r="C806" s="11"/>
      <c r="D806" s="11"/>
      <c r="G806" s="26"/>
    </row>
    <row r="807" ht="15.75" customHeight="1">
      <c r="A807" s="15"/>
      <c r="B807" s="11"/>
      <c r="C807" s="11"/>
      <c r="D807" s="11"/>
      <c r="G807" s="26"/>
    </row>
    <row r="808" ht="15.75" customHeight="1">
      <c r="A808" s="15"/>
      <c r="B808" s="11"/>
      <c r="C808" s="11"/>
      <c r="D808" s="11"/>
      <c r="G808" s="26"/>
    </row>
    <row r="809" ht="15.75" customHeight="1">
      <c r="A809" s="15"/>
      <c r="B809" s="11"/>
      <c r="C809" s="11"/>
      <c r="D809" s="11"/>
      <c r="G809" s="26"/>
    </row>
    <row r="810" ht="15.75" customHeight="1">
      <c r="A810" s="15"/>
      <c r="B810" s="11"/>
      <c r="C810" s="11"/>
      <c r="D810" s="11"/>
      <c r="G810" s="26"/>
    </row>
    <row r="811" ht="15.75" customHeight="1">
      <c r="A811" s="15"/>
      <c r="B811" s="11"/>
      <c r="C811" s="11"/>
      <c r="D811" s="11"/>
      <c r="G811" s="26"/>
    </row>
    <row r="812" ht="15.75" customHeight="1">
      <c r="A812" s="15"/>
      <c r="B812" s="11"/>
      <c r="C812" s="11"/>
      <c r="D812" s="11"/>
      <c r="G812" s="26"/>
    </row>
    <row r="813" ht="15.75" customHeight="1">
      <c r="A813" s="15"/>
      <c r="B813" s="11"/>
      <c r="C813" s="11"/>
      <c r="D813" s="11"/>
      <c r="G813" s="26"/>
    </row>
    <row r="814" ht="15.75" customHeight="1">
      <c r="A814" s="15"/>
      <c r="B814" s="11"/>
      <c r="C814" s="11"/>
      <c r="D814" s="11"/>
      <c r="G814" s="26"/>
    </row>
    <row r="815" ht="15.75" customHeight="1">
      <c r="A815" s="15"/>
      <c r="B815" s="11"/>
      <c r="C815" s="11"/>
      <c r="D815" s="11"/>
      <c r="G815" s="26"/>
    </row>
    <row r="816" ht="15.75" customHeight="1">
      <c r="A816" s="15"/>
      <c r="B816" s="11"/>
      <c r="C816" s="11"/>
      <c r="D816" s="11"/>
      <c r="G816" s="26"/>
    </row>
    <row r="817" ht="15.75" customHeight="1">
      <c r="A817" s="15"/>
      <c r="B817" s="11"/>
      <c r="C817" s="11"/>
      <c r="D817" s="11"/>
      <c r="G817" s="26"/>
    </row>
    <row r="818" ht="15.75" customHeight="1">
      <c r="A818" s="15"/>
      <c r="B818" s="11"/>
      <c r="C818" s="11"/>
      <c r="D818" s="11"/>
      <c r="G818" s="26"/>
    </row>
    <row r="819" ht="15.75" customHeight="1">
      <c r="A819" s="15"/>
      <c r="B819" s="11"/>
      <c r="C819" s="11"/>
      <c r="D819" s="11"/>
      <c r="G819" s="26"/>
    </row>
    <row r="820" ht="15.75" customHeight="1">
      <c r="A820" s="15"/>
      <c r="B820" s="11"/>
      <c r="C820" s="11"/>
      <c r="D820" s="11"/>
      <c r="G820" s="26"/>
    </row>
    <row r="821" ht="15.75" customHeight="1">
      <c r="A821" s="15"/>
      <c r="B821" s="11"/>
      <c r="C821" s="11"/>
      <c r="D821" s="11"/>
      <c r="G821" s="26"/>
    </row>
    <row r="822" ht="15.75" customHeight="1">
      <c r="A822" s="15"/>
      <c r="B822" s="11"/>
      <c r="C822" s="11"/>
      <c r="D822" s="11"/>
      <c r="G822" s="26"/>
    </row>
    <row r="823" ht="15.75" customHeight="1">
      <c r="A823" s="15"/>
      <c r="B823" s="11"/>
      <c r="C823" s="11"/>
      <c r="D823" s="11"/>
      <c r="G823" s="26"/>
    </row>
    <row r="824" ht="15.75" customHeight="1">
      <c r="A824" s="15"/>
      <c r="B824" s="11"/>
      <c r="C824" s="11"/>
      <c r="D824" s="11"/>
      <c r="G824" s="26"/>
    </row>
    <row r="825" ht="15.75" customHeight="1">
      <c r="A825" s="15"/>
      <c r="B825" s="11"/>
      <c r="C825" s="11"/>
      <c r="D825" s="11"/>
      <c r="G825" s="26"/>
    </row>
    <row r="826" ht="15.75" customHeight="1">
      <c r="A826" s="15"/>
      <c r="B826" s="11"/>
      <c r="C826" s="11"/>
      <c r="D826" s="11"/>
      <c r="G826" s="26"/>
    </row>
    <row r="827" ht="15.75" customHeight="1">
      <c r="A827" s="15"/>
      <c r="B827" s="11"/>
      <c r="C827" s="11"/>
      <c r="D827" s="11"/>
      <c r="G827" s="26"/>
    </row>
    <row r="828" ht="15.75" customHeight="1">
      <c r="A828" s="15"/>
      <c r="B828" s="11"/>
      <c r="C828" s="11"/>
      <c r="D828" s="11"/>
      <c r="G828" s="26"/>
    </row>
    <row r="829" ht="15.75" customHeight="1">
      <c r="A829" s="15"/>
      <c r="B829" s="11"/>
      <c r="C829" s="11"/>
      <c r="D829" s="11"/>
      <c r="G829" s="26"/>
    </row>
    <row r="830" ht="15.75" customHeight="1">
      <c r="A830" s="15"/>
      <c r="B830" s="11"/>
      <c r="C830" s="11"/>
      <c r="D830" s="11"/>
      <c r="G830" s="26"/>
    </row>
    <row r="831" ht="15.75" customHeight="1">
      <c r="A831" s="15"/>
      <c r="B831" s="11"/>
      <c r="C831" s="11"/>
      <c r="D831" s="11"/>
      <c r="G831" s="26"/>
    </row>
    <row r="832" ht="15.75" customHeight="1">
      <c r="A832" s="15"/>
      <c r="B832" s="11"/>
      <c r="C832" s="11"/>
      <c r="D832" s="11"/>
      <c r="G832" s="26"/>
    </row>
    <row r="833" ht="15.75" customHeight="1">
      <c r="A833" s="15"/>
      <c r="B833" s="11"/>
      <c r="C833" s="11"/>
      <c r="D833" s="11"/>
      <c r="G833" s="26"/>
    </row>
    <row r="834" ht="15.75" customHeight="1">
      <c r="A834" s="15"/>
      <c r="B834" s="11"/>
      <c r="C834" s="11"/>
      <c r="D834" s="11"/>
      <c r="G834" s="26"/>
    </row>
    <row r="835" ht="15.75" customHeight="1">
      <c r="A835" s="15"/>
      <c r="B835" s="11"/>
      <c r="C835" s="11"/>
      <c r="D835" s="11"/>
      <c r="G835" s="26"/>
    </row>
    <row r="836" ht="15.75" customHeight="1">
      <c r="A836" s="15"/>
      <c r="B836" s="11"/>
      <c r="C836" s="11"/>
      <c r="D836" s="11"/>
      <c r="G836" s="26"/>
    </row>
    <row r="837" ht="15.75" customHeight="1">
      <c r="A837" s="15"/>
      <c r="B837" s="11"/>
      <c r="C837" s="11"/>
      <c r="D837" s="11"/>
      <c r="G837" s="26"/>
    </row>
    <row r="838" ht="15.75" customHeight="1">
      <c r="A838" s="15"/>
      <c r="B838" s="11"/>
      <c r="C838" s="11"/>
      <c r="D838" s="11"/>
      <c r="G838" s="26"/>
    </row>
    <row r="839" ht="15.75" customHeight="1">
      <c r="A839" s="15"/>
      <c r="B839" s="11"/>
      <c r="C839" s="11"/>
      <c r="D839" s="11"/>
      <c r="G839" s="26"/>
    </row>
    <row r="840" ht="15.75" customHeight="1">
      <c r="A840" s="15"/>
      <c r="B840" s="11"/>
      <c r="C840" s="11"/>
      <c r="D840" s="11"/>
      <c r="G840" s="26"/>
    </row>
    <row r="841" ht="15.75" customHeight="1">
      <c r="A841" s="15"/>
      <c r="B841" s="11"/>
      <c r="C841" s="11"/>
      <c r="D841" s="11"/>
      <c r="G841" s="26"/>
    </row>
    <row r="842" ht="15.75" customHeight="1">
      <c r="A842" s="15"/>
      <c r="B842" s="11"/>
      <c r="C842" s="11"/>
      <c r="D842" s="11"/>
      <c r="G842" s="26"/>
    </row>
    <row r="843" ht="15.75" customHeight="1">
      <c r="A843" s="15"/>
      <c r="B843" s="11"/>
      <c r="C843" s="11"/>
      <c r="D843" s="11"/>
      <c r="G843" s="26"/>
    </row>
    <row r="844" ht="15.75" customHeight="1">
      <c r="A844" s="15"/>
      <c r="B844" s="11"/>
      <c r="C844" s="11"/>
      <c r="D844" s="11"/>
      <c r="G844" s="26"/>
    </row>
    <row r="845" ht="15.75" customHeight="1">
      <c r="A845" s="15"/>
      <c r="B845" s="11"/>
      <c r="C845" s="11"/>
      <c r="D845" s="11"/>
      <c r="G845" s="26"/>
    </row>
    <row r="846" ht="15.75" customHeight="1">
      <c r="A846" s="15"/>
      <c r="B846" s="11"/>
      <c r="C846" s="11"/>
      <c r="D846" s="11"/>
      <c r="G846" s="26"/>
    </row>
    <row r="847" ht="15.75" customHeight="1">
      <c r="A847" s="15"/>
      <c r="B847" s="11"/>
      <c r="C847" s="11"/>
      <c r="D847" s="11"/>
      <c r="G847" s="26"/>
    </row>
    <row r="848" ht="15.75" customHeight="1">
      <c r="A848" s="15"/>
      <c r="B848" s="11"/>
      <c r="C848" s="11"/>
      <c r="D848" s="11"/>
      <c r="G848" s="26"/>
    </row>
    <row r="849" ht="15.75" customHeight="1">
      <c r="A849" s="15"/>
      <c r="B849" s="11"/>
      <c r="C849" s="11"/>
      <c r="D849" s="11"/>
      <c r="G849" s="26"/>
    </row>
    <row r="850" ht="15.75" customHeight="1">
      <c r="A850" s="15"/>
      <c r="B850" s="11"/>
      <c r="C850" s="11"/>
      <c r="D850" s="11"/>
      <c r="G850" s="26"/>
    </row>
    <row r="851" ht="15.75" customHeight="1">
      <c r="A851" s="15"/>
      <c r="B851" s="11"/>
      <c r="C851" s="11"/>
      <c r="D851" s="11"/>
      <c r="G851" s="26"/>
    </row>
    <row r="852" ht="15.75" customHeight="1">
      <c r="A852" s="15"/>
      <c r="B852" s="11"/>
      <c r="C852" s="11"/>
      <c r="D852" s="11"/>
      <c r="G852" s="26"/>
    </row>
    <row r="853" ht="15.75" customHeight="1">
      <c r="A853" s="15"/>
      <c r="B853" s="11"/>
      <c r="C853" s="11"/>
      <c r="D853" s="11"/>
      <c r="G853" s="26"/>
    </row>
    <row r="854" ht="15.75" customHeight="1">
      <c r="A854" s="15"/>
      <c r="B854" s="11"/>
      <c r="C854" s="11"/>
      <c r="D854" s="11"/>
      <c r="G854" s="26"/>
    </row>
    <row r="855" ht="15.75" customHeight="1">
      <c r="A855" s="15"/>
      <c r="B855" s="11"/>
      <c r="C855" s="11"/>
      <c r="D855" s="11"/>
      <c r="G855" s="26"/>
    </row>
    <row r="856" ht="15.75" customHeight="1">
      <c r="A856" s="15"/>
      <c r="B856" s="11"/>
      <c r="C856" s="11"/>
      <c r="D856" s="11"/>
      <c r="G856" s="26"/>
    </row>
    <row r="857" ht="15.75" customHeight="1">
      <c r="A857" s="15"/>
      <c r="B857" s="11"/>
      <c r="C857" s="11"/>
      <c r="D857" s="11"/>
      <c r="G857" s="26"/>
    </row>
    <row r="858" ht="15.75" customHeight="1">
      <c r="A858" s="15"/>
      <c r="B858" s="11"/>
      <c r="C858" s="11"/>
      <c r="D858" s="11"/>
      <c r="G858" s="26"/>
    </row>
    <row r="859" ht="15.75" customHeight="1">
      <c r="A859" s="15"/>
      <c r="B859" s="11"/>
      <c r="C859" s="11"/>
      <c r="D859" s="11"/>
      <c r="G859" s="26"/>
    </row>
    <row r="860" ht="15.75" customHeight="1">
      <c r="A860" s="15"/>
      <c r="B860" s="11"/>
      <c r="C860" s="11"/>
      <c r="D860" s="11"/>
      <c r="G860" s="26"/>
    </row>
    <row r="861" ht="15.75" customHeight="1">
      <c r="A861" s="15"/>
      <c r="B861" s="11"/>
      <c r="C861" s="11"/>
      <c r="D861" s="11"/>
      <c r="G861" s="26"/>
    </row>
    <row r="862" ht="15.75" customHeight="1">
      <c r="A862" s="15"/>
      <c r="B862" s="11"/>
      <c r="C862" s="11"/>
      <c r="D862" s="11"/>
      <c r="G862" s="26"/>
    </row>
    <row r="863" ht="15.75" customHeight="1">
      <c r="A863" s="15"/>
      <c r="B863" s="11"/>
      <c r="C863" s="11"/>
      <c r="D863" s="11"/>
      <c r="G863" s="26"/>
    </row>
    <row r="864" ht="15.75" customHeight="1">
      <c r="A864" s="15"/>
      <c r="B864" s="11"/>
      <c r="C864" s="11"/>
      <c r="D864" s="11"/>
      <c r="G864" s="26"/>
    </row>
    <row r="865" ht="15.75" customHeight="1">
      <c r="A865" s="15"/>
      <c r="B865" s="11"/>
      <c r="C865" s="11"/>
      <c r="D865" s="11"/>
      <c r="G865" s="26"/>
    </row>
    <row r="866" ht="15.75" customHeight="1">
      <c r="A866" s="15"/>
      <c r="B866" s="11"/>
      <c r="C866" s="11"/>
      <c r="D866" s="11"/>
      <c r="G866" s="26"/>
    </row>
    <row r="867" ht="15.75" customHeight="1">
      <c r="A867" s="15"/>
      <c r="B867" s="11"/>
      <c r="C867" s="11"/>
      <c r="D867" s="11"/>
      <c r="G867" s="26"/>
    </row>
  </sheetData>
  <conditionalFormatting sqref="A1:A867">
    <cfRule type="timePeriod" dxfId="0" priority="1" timePeriod="today"/>
  </conditionalFormatting>
  <printOptions/>
  <pageMargins bottom="1.0" footer="0.0" header="0.0" left="0.75" right="0.75" top="1.0"/>
  <pageSetup orientation="landscape"/>
  <drawing r:id="rId1"/>
</worksheet>
</file>